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F:\Resume\Data Analysis\"/>
    </mc:Choice>
  </mc:AlternateContent>
  <xr:revisionPtr revIDLastSave="0" documentId="8_{09B6FE00-2291-457D-9E18-20A60C9FA85F}" xr6:coauthVersionLast="47" xr6:coauthVersionMax="47" xr10:uidLastSave="{00000000-0000-0000-0000-000000000000}"/>
  <bookViews>
    <workbookView xWindow="-110" yWindow="-110" windowWidth="38620" windowHeight="21100" xr2:uid="{9E8CC92B-005C-4AAA-9F56-5F0C59C41B42}"/>
  </bookViews>
  <sheets>
    <sheet name="Income Statement Projection" sheetId="1" r:id="rId1"/>
    <sheet name="Forecast by Interest Rate" sheetId="3" r:id="rId2"/>
    <sheet name="Instructions" sheetId="2" r:id="rId3"/>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2" i="1" l="1" a="1"/>
  <c r="O12" i="1" s="1"/>
  <c r="O7" i="1" a="1"/>
  <c r="O7" i="1" s="1"/>
  <c r="O5" i="1" a="1"/>
  <c r="O5" i="1" s="1"/>
  <c r="O9" i="1" l="1" a="1"/>
  <c r="O9" i="1" s="1"/>
  <c r="D9" i="1" s="1"/>
  <c r="E9" i="1" s="1"/>
  <c r="F9" i="1" s="1"/>
  <c r="G9" i="1" s="1"/>
  <c r="D12" i="1"/>
  <c r="E12" i="1" s="1"/>
  <c r="F12" i="1" s="1"/>
  <c r="G12" i="1" s="1"/>
  <c r="D7" i="1"/>
  <c r="O11" i="1" a="1"/>
  <c r="O11" i="1" s="1"/>
  <c r="D11" i="1" s="1"/>
  <c r="O10" i="1" a="1"/>
  <c r="O10" i="1" s="1"/>
  <c r="D10" i="1" s="1"/>
  <c r="E10" i="1" s="1"/>
  <c r="F10" i="1" s="1"/>
  <c r="G10" i="1" s="1"/>
  <c r="O8" i="1" a="1"/>
  <c r="O8" i="1" s="1"/>
  <c r="D8" i="1" s="1"/>
  <c r="E8" i="1" s="1"/>
  <c r="F8" i="1" s="1"/>
  <c r="G8" i="1" s="1"/>
  <c r="O3" i="1" a="1"/>
  <c r="O3" i="1" s="1"/>
  <c r="D3" i="1" s="1"/>
  <c r="E3" i="1" s="1"/>
  <c r="F3" i="1" s="1"/>
  <c r="G3" i="1" s="1"/>
  <c r="D5" i="1"/>
  <c r="O4" i="1" a="1"/>
  <c r="O4" i="1" s="1"/>
  <c r="D4" i="1" s="1"/>
  <c r="E4" i="1" s="1"/>
  <c r="F4" i="1" s="1"/>
  <c r="G4" i="1" s="1"/>
  <c r="D6" i="1" l="1"/>
  <c r="D13" i="1"/>
  <c r="E7" i="1"/>
  <c r="E5" i="1"/>
  <c r="D14" i="1" l="1"/>
  <c r="F5" i="1"/>
  <c r="E6" i="1"/>
  <c r="F7" i="1"/>
  <c r="E13" i="1"/>
  <c r="G7" i="1" l="1"/>
  <c r="G13" i="1" s="1"/>
  <c r="F13" i="1"/>
  <c r="E14" i="1"/>
  <c r="G5" i="1"/>
  <c r="G6" i="1" s="1"/>
  <c r="F6" i="1"/>
  <c r="F14" i="1" l="1"/>
  <c r="G14" i="1"/>
  <c r="C17"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<sst xmlns="http://schemas.openxmlformats.org/spreadsheetml/2006/main" count="79" uniqueCount="53">
  <si>
    <t>Income Statement</t>
  </si>
  <si>
    <t>In Thousands</t>
  </si>
  <si>
    <t>Revenue</t>
  </si>
  <si>
    <t>Gross Premiums</t>
  </si>
  <si>
    <t>Premiums Ceded to Reinsurers</t>
  </si>
  <si>
    <t>Investment Income</t>
  </si>
  <si>
    <t>Total Revenue</t>
  </si>
  <si>
    <t>Expenses</t>
  </si>
  <si>
    <t>Gross Claims</t>
  </si>
  <si>
    <t>Benefits</t>
  </si>
  <si>
    <t>Equipment Expenses</t>
  </si>
  <si>
    <t>Claims and Expenses Ceded to Reinsurers</t>
  </si>
  <si>
    <t>Acquisition Costs Amortization</t>
  </si>
  <si>
    <t xml:space="preserve">Change in Insurance Liabilities </t>
  </si>
  <si>
    <t>Total Expenses</t>
  </si>
  <si>
    <t>Net Income</t>
  </si>
  <si>
    <t>(Revenue - Expenses)</t>
  </si>
  <si>
    <t>Annual Change Assumptions</t>
  </si>
  <si>
    <t>Final Input</t>
  </si>
  <si>
    <t>Interest Rate</t>
  </si>
  <si>
    <t>Increase</t>
  </si>
  <si>
    <t>Decrease</t>
  </si>
  <si>
    <t>Direction</t>
  </si>
  <si>
    <r>
      <t xml:space="preserve">Your task is to help project the net income for the years from 2022-2025 (inclusive) by using the following default </t>
    </r>
    <r>
      <rPr>
        <b/>
        <sz val="11"/>
        <color theme="1"/>
        <rFont val="Aptos Narrow"/>
        <family val="2"/>
        <scheme val="minor"/>
      </rPr>
      <t>annual change assumptions</t>
    </r>
    <r>
      <rPr>
        <sz val="11"/>
        <color theme="1"/>
        <rFont val="Aptos Narrow"/>
        <family val="2"/>
        <scheme val="minor"/>
      </rPr>
      <t xml:space="preserve"> for each line on the income statement:</t>
    </r>
  </si>
  <si>
    <t>Gross Premiums will increase by 3% each year.</t>
  </si>
  <si>
    <t>Premiums Ceded to Reinsurers will increase by 1% each year.</t>
  </si>
  <si>
    <t>Investment Income will increase by 0.2% each year.</t>
  </si>
  <si>
    <t>Gross Claims will decrease by 1% each year.</t>
  </si>
  <si>
    <t>Benefits will increase by 1% each year.</t>
  </si>
  <si>
    <t>Equipment expenses will increase by 0.5% each year.</t>
  </si>
  <si>
    <t>Claims and Expenses Ceded to Reinsurers will increase by 0.9% each year.</t>
  </si>
  <si>
    <t>Acquisition Costs Amortization increase by 2% each year.</t>
  </si>
  <si>
    <t>Change in Insurance Liabilities decrease by 0.7% each year.</t>
  </si>
  <si>
    <t>The above assumptions are the default assumptions for your tool, however, your tool should be able to accept a user’s input relating to the direction of the annual change (increase/decrease/no change) and a user’s input for the percentage change that is to be assumed in the projections for EACH of the above income statement line items.</t>
  </si>
  <si>
    <t>That means that a user should be able to change the annual change assumptions, and that your tool should not only work for the default assumptions above, but also for any annual change assumption that a user inputs for each income statement line item.</t>
  </si>
  <si>
    <r>
      <t>Note:</t>
    </r>
    <r>
      <rPr>
        <sz val="11"/>
        <color theme="1"/>
        <rFont val="Aptos Narrow"/>
        <family val="2"/>
        <scheme val="minor"/>
      </rPr>
      <t xml:space="preserve"> “No change” means that there is a 0% annual change in the projected values from one year to the next.</t>
    </r>
  </si>
  <si>
    <t>Lastly, your tool should also include a “interest rate” input method to implement the following scenarios:</t>
  </si>
  <si>
    <r>
      <t xml:space="preserve">If interest rates are 2-4% (inclusive), then the Investment Income </t>
    </r>
    <r>
      <rPr>
        <b/>
        <sz val="11"/>
        <color theme="1"/>
        <rFont val="Aptos Narrow"/>
        <family val="2"/>
        <scheme val="minor"/>
      </rPr>
      <t>annual change assumption</t>
    </r>
    <r>
      <rPr>
        <sz val="11"/>
        <color theme="1"/>
        <rFont val="Aptos Narrow"/>
        <family val="2"/>
        <scheme val="minor"/>
      </rPr>
      <t xml:space="preserve"> will decrease by 0.25% (multiplicative).</t>
    </r>
  </si>
  <si>
    <r>
      <t xml:space="preserve">If interest rates are 5-7% (inclusive), then the Investment Income </t>
    </r>
    <r>
      <rPr>
        <b/>
        <sz val="11"/>
        <color theme="1"/>
        <rFont val="Aptos Narrow"/>
        <family val="2"/>
        <scheme val="minor"/>
      </rPr>
      <t>annual change assumption</t>
    </r>
    <r>
      <rPr>
        <sz val="11"/>
        <color theme="1"/>
        <rFont val="Aptos Narrow"/>
        <family val="2"/>
        <scheme val="minor"/>
      </rPr>
      <t xml:space="preserve"> will increase by 0.625% (multiplicative).</t>
    </r>
  </si>
  <si>
    <r>
      <t xml:space="preserve">If interest rates are 2-4% (inclusive), then the Gross Claims </t>
    </r>
    <r>
      <rPr>
        <b/>
        <sz val="11"/>
        <color theme="1"/>
        <rFont val="Aptos Narrow"/>
        <family val="2"/>
        <scheme val="minor"/>
      </rPr>
      <t>annual change assumption</t>
    </r>
    <r>
      <rPr>
        <sz val="11"/>
        <color theme="1"/>
        <rFont val="Aptos Narrow"/>
        <family val="2"/>
        <scheme val="minor"/>
      </rPr>
      <t xml:space="preserve"> will increase by 1% (multiplicative).</t>
    </r>
  </si>
  <si>
    <r>
      <t xml:space="preserve">If interest rates are 2-4% (inclusive), then the Change in Insurance Liabilities </t>
    </r>
    <r>
      <rPr>
        <b/>
        <sz val="11"/>
        <color theme="1"/>
        <rFont val="Aptos Narrow"/>
        <family val="2"/>
        <scheme val="minor"/>
      </rPr>
      <t>annual change assumption</t>
    </r>
    <r>
      <rPr>
        <sz val="11"/>
        <color theme="1"/>
        <rFont val="Aptos Narrow"/>
        <family val="2"/>
        <scheme val="minor"/>
      </rPr>
      <t xml:space="preserve"> will increase by 1.5% (multiplicative).</t>
    </r>
  </si>
  <si>
    <r>
      <t xml:space="preserve">If interest rates are 2-4% (inclusive), then the Equipment Expenses </t>
    </r>
    <r>
      <rPr>
        <b/>
        <sz val="11"/>
        <color theme="1"/>
        <rFont val="Aptos Narrow"/>
        <family val="2"/>
        <scheme val="minor"/>
      </rPr>
      <t>annual change assumption</t>
    </r>
    <r>
      <rPr>
        <sz val="11"/>
        <color theme="1"/>
        <rFont val="Aptos Narrow"/>
        <family val="2"/>
        <scheme val="minor"/>
      </rPr>
      <t xml:space="preserve"> will increase by 2% (multiplicative).</t>
    </r>
  </si>
  <si>
    <r>
      <t xml:space="preserve">If interest rates are 5-7% (inclusive), then the Gross Claims </t>
    </r>
    <r>
      <rPr>
        <b/>
        <sz val="11"/>
        <color theme="1"/>
        <rFont val="Aptos Narrow"/>
        <family val="2"/>
        <scheme val="minor"/>
      </rPr>
      <t>annual change assumption</t>
    </r>
    <r>
      <rPr>
        <sz val="11"/>
        <color theme="1"/>
        <rFont val="Aptos Narrow"/>
        <family val="2"/>
        <scheme val="minor"/>
      </rPr>
      <t xml:space="preserve"> will decrease by 0.7% (multiplicative).</t>
    </r>
  </si>
  <si>
    <t>Example: If the interest rate is set to 6%, the Investment Income would change from 0.02% to 0.2012500%. This is due to the conditions set in the second bullet above. You take the default annual change of assumption for Investment Income and multiply it by the percentage stated.</t>
  </si>
  <si>
    <t>Base Input</t>
  </si>
  <si>
    <t>Forcasted Net Income</t>
  </si>
  <si>
    <t>in thousands</t>
  </si>
  <si>
    <t>Scenario #</t>
  </si>
  <si>
    <t>4% Interest Rate</t>
  </si>
  <si>
    <t>6% Interest rate</t>
  </si>
  <si>
    <t>8% Interest Rate</t>
  </si>
  <si>
    <t>2 %  Interest rate</t>
  </si>
  <si>
    <t>Please input changes to assumptions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</si>
</sst>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 #,##0_-;_-* &quot;-&quot;??_-;_-@_-"/>
    <numFmt numFmtId="165" formatCode="0.0%"/>
    <numFmt numFmtId="166" formatCode="0.0000"/>
  </numFmts>
  <fonts count="10">
    <font>
      <sz val="11"/>
      <color theme="1"/>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22"/>
      <color theme="1"/>
      <name val="Aptos Narrow"/>
      <family val="2"/>
      <scheme val="minor"/>
    </font>
    <font>
      <b/>
      <sz val="12"/>
      <color theme="1"/>
      <name val="Aptos Narrow"/>
      <family val="2"/>
      <scheme val="minor"/>
    </font>
    <font>
      <sz val="12"/>
      <color theme="1"/>
      <name val="Aptos Narrow"/>
      <family val="2"/>
      <scheme val="minor"/>
    </font>
    <font>
      <sz val="12"/>
      <color rgb="FFFF0000"/>
      <name val="Aptos Narrow"/>
      <family val="2"/>
      <scheme val="minor"/>
    </font>
    <font>
      <b/>
      <sz val="14"/>
      <color theme="1"/>
      <name val="Aptos Narrow"/>
      <family val="2"/>
      <scheme val="minor"/>
    </font>
    <font>
      <b/>
      <sz val="16"/>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3" tint="0.749992370372631"/>
        <bgColor indexed="64"/>
      </patternFill>
    </fill>
    <fill>
      <patternFill patternType="solid">
        <fgColor theme="0" tint="-0.34998626667073579"/>
        <bgColor indexed="64"/>
      </patternFill>
    </fill>
  </fills>
  <borders count="20">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right>
      <top style="double">
        <color indexed="64"/>
      </top>
      <bottom style="thin">
        <color indexed="64"/>
      </bottom>
      <diagonal/>
    </border>
    <border>
      <left style="thin">
        <color theme="1"/>
      </left>
      <right/>
      <top style="double">
        <color indexed="64"/>
      </top>
      <bottom style="thin">
        <color indexed="64"/>
      </bottom>
      <diagonal/>
    </border>
    <border>
      <left style="thin">
        <color theme="1"/>
      </left>
      <right/>
      <top style="thin">
        <color indexed="64"/>
      </top>
      <bottom/>
      <diagonal/>
    </border>
    <border>
      <left style="thin">
        <color theme="1"/>
      </left>
      <right/>
      <top/>
      <bottom/>
      <diagonal/>
    </border>
    <border>
      <left style="thin">
        <color theme="1"/>
      </left>
      <right/>
      <top/>
      <bottom style="double">
        <color indexed="64"/>
      </bottom>
      <diagonal/>
    </border>
    <border>
      <left style="thin">
        <color theme="1"/>
      </left>
      <right/>
      <top style="double">
        <color indexed="64"/>
      </top>
      <bottom style="double">
        <color indexed="64"/>
      </bottom>
      <diagonal/>
    </border>
    <border>
      <left/>
      <right/>
      <top style="double">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6" fillId="0" borderId="0"/>
  </cellStyleXfs>
  <cellXfs count="51">
    <xf numFmtId="0" fontId="0" fillId="0" borderId="0" xfId="0"/>
    <xf numFmtId="0" fontId="5" fillId="0" borderId="0" xfId="0" applyFont="1"/>
    <xf numFmtId="0" fontId="0" fillId="0" borderId="2" xfId="0" applyBorder="1"/>
    <xf numFmtId="0" fontId="0" fillId="0" borderId="4" xfId="0" applyBorder="1"/>
    <xf numFmtId="0" fontId="0" fillId="0" borderId="5" xfId="0" applyBorder="1"/>
    <xf numFmtId="0" fontId="5" fillId="0" borderId="6" xfId="0" applyFont="1" applyBorder="1"/>
    <xf numFmtId="0" fontId="0" fillId="0" borderId="1" xfId="0" applyBorder="1"/>
    <xf numFmtId="0" fontId="0" fillId="0" borderId="3" xfId="0" applyBorder="1"/>
    <xf numFmtId="0" fontId="0" fillId="0" borderId="7" xfId="0" applyBorder="1"/>
    <xf numFmtId="0" fontId="5" fillId="0" borderId="8" xfId="0" applyFont="1" applyBorder="1"/>
    <xf numFmtId="0" fontId="5" fillId="0" borderId="9" xfId="0" applyFont="1" applyBorder="1"/>
    <xf numFmtId="0" fontId="5" fillId="0" borderId="10" xfId="0" applyFont="1" applyBorder="1"/>
    <xf numFmtId="164" fontId="0" fillId="0" borderId="1" xfId="1" applyNumberFormat="1" applyFont="1" applyBorder="1"/>
    <xf numFmtId="164" fontId="7" fillId="0" borderId="3" xfId="1" applyNumberFormat="1" applyFont="1" applyBorder="1"/>
    <xf numFmtId="164" fontId="0" fillId="0" borderId="7" xfId="1" applyNumberFormat="1" applyFont="1" applyFill="1" applyBorder="1"/>
    <xf numFmtId="164" fontId="5" fillId="0" borderId="11" xfId="1" applyNumberFormat="1" applyFont="1" applyBorder="1"/>
    <xf numFmtId="164" fontId="0" fillId="0" borderId="12" xfId="1" applyNumberFormat="1" applyFont="1" applyFill="1" applyBorder="1"/>
    <xf numFmtId="164" fontId="0" fillId="0" borderId="13" xfId="1" applyNumberFormat="1" applyFont="1" applyBorder="1"/>
    <xf numFmtId="164" fontId="0" fillId="0" borderId="13" xfId="1" applyNumberFormat="1" applyFont="1" applyFill="1" applyBorder="1"/>
    <xf numFmtId="164" fontId="7" fillId="0" borderId="13" xfId="1" applyNumberFormat="1" applyFont="1" applyBorder="1"/>
    <xf numFmtId="164" fontId="0" fillId="0" borderId="14" xfId="1" applyNumberFormat="1" applyFont="1" applyFill="1" applyBorder="1"/>
    <xf numFmtId="164" fontId="5" fillId="0" borderId="15" xfId="1" applyNumberFormat="1" applyFont="1" applyBorder="1"/>
    <xf numFmtId="164" fontId="5" fillId="0" borderId="16" xfId="1" applyNumberFormat="1" applyFont="1" applyBorder="1"/>
    <xf numFmtId="0" fontId="4" fillId="3" borderId="0" xfId="0" applyFont="1" applyFill="1"/>
    <xf numFmtId="9" fontId="0" fillId="0" borderId="0" xfId="2" applyFont="1"/>
    <xf numFmtId="165" fontId="0" fillId="0" borderId="0" xfId="2" applyNumberFormat="1" applyFont="1"/>
    <xf numFmtId="0" fontId="0" fillId="0" borderId="0" xfId="0" quotePrefix="1"/>
    <xf numFmtId="166" fontId="0" fillId="0" borderId="0" xfId="0" applyNumberFormat="1"/>
    <xf numFmtId="164" fontId="2" fillId="0" borderId="12" xfId="1" applyNumberFormat="1" applyFont="1" applyFill="1" applyBorder="1"/>
    <xf numFmtId="164" fontId="2" fillId="0" borderId="1" xfId="1" applyNumberFormat="1" applyFont="1" applyBorder="1"/>
    <xf numFmtId="0" fontId="3" fillId="0" borderId="0" xfId="0" applyFont="1"/>
    <xf numFmtId="0" fontId="0" fillId="0" borderId="0" xfId="0" applyAlignment="1">
      <alignment horizontal="left" vertical="center" indent="1"/>
    </xf>
    <xf numFmtId="164" fontId="9" fillId="0" borderId="0" xfId="0" applyNumberFormat="1" applyFont="1"/>
    <xf numFmtId="0" fontId="3" fillId="0" borderId="0" xfId="0" applyFont="1" applyAlignment="1">
      <alignment horizontal="center" vertical="center"/>
    </xf>
    <xf numFmtId="0" fontId="3" fillId="0" borderId="0" xfId="3" applyFont="1" applyAlignment="1">
      <alignment wrapText="1"/>
    </xf>
    <xf numFmtId="0" fontId="3" fillId="0" borderId="18" xfId="3" applyFont="1" applyBorder="1" applyAlignment="1">
      <alignment wrapText="1"/>
    </xf>
    <xf numFmtId="0" fontId="6" fillId="0" borderId="0" xfId="3"/>
    <xf numFmtId="0" fontId="3" fillId="0" borderId="0" xfId="3" applyFont="1"/>
    <xf numFmtId="0" fontId="1" fillId="0" borderId="0" xfId="3" applyFont="1"/>
    <xf numFmtId="0" fontId="1" fillId="0" borderId="18" xfId="3" applyFont="1" applyBorder="1"/>
    <xf numFmtId="0" fontId="3" fillId="0" borderId="17" xfId="3" applyFont="1" applyBorder="1"/>
    <xf numFmtId="0" fontId="1" fillId="0" borderId="17" xfId="3" applyFont="1" applyBorder="1"/>
    <xf numFmtId="0" fontId="1" fillId="0" borderId="19" xfId="3" applyFont="1" applyBorder="1"/>
    <xf numFmtId="0" fontId="5" fillId="0" borderId="0" xfId="3" applyFont="1"/>
    <xf numFmtId="0" fontId="5" fillId="0" borderId="1" xfId="0" applyFont="1" applyBorder="1" applyAlignment="1">
      <alignment horizontal="center" vertical="center"/>
    </xf>
    <xf numFmtId="0" fontId="5" fillId="0" borderId="3" xfId="0" applyFont="1" applyBorder="1" applyAlignment="1">
      <alignment horizontal="center" vertical="center"/>
    </xf>
    <xf numFmtId="0" fontId="5" fillId="0" borderId="6" xfId="0" applyFont="1" applyBorder="1" applyAlignment="1">
      <alignment horizontal="center" vertical="center"/>
    </xf>
    <xf numFmtId="0" fontId="0" fillId="2" borderId="17" xfId="0" applyFill="1" applyBorder="1"/>
    <xf numFmtId="0" fontId="0" fillId="2" borderId="17" xfId="0" applyFill="1" applyBorder="1" applyAlignment="1">
      <alignment horizontal="center"/>
    </xf>
    <xf numFmtId="0" fontId="8" fillId="4" borderId="17" xfId="0" applyFont="1" applyFill="1" applyBorder="1"/>
    <xf numFmtId="0" fontId="0" fillId="4" borderId="0" xfId="0" applyFill="1"/>
  </cellXfs>
  <cellStyles count="4">
    <cellStyle name="Comma" xfId="1" builtinId="3"/>
    <cellStyle name="Normal" xfId="0" builtinId="0"/>
    <cellStyle name="Normal 2" xfId="3" xr:uid="{1DD040D1-5CFF-4EEA-B20C-BEFF55FBF18D}"/>
    <cellStyle name="Percent" xfId="2" builtinId="5"/>
  </cellStyles>
  <dxfs count="3">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149411</xdr:colOff>
      <xdr:row>2</xdr:row>
      <xdr:rowOff>112060</xdr:rowOff>
    </xdr:from>
    <xdr:to>
      <xdr:col>16</xdr:col>
      <xdr:colOff>687294</xdr:colOff>
      <xdr:row>4</xdr:row>
      <xdr:rowOff>67236</xdr:rowOff>
    </xdr:to>
    <xdr:sp macro="[0]!_xludf.Forecast" textlink="">
      <xdr:nvSpPr>
        <xdr:cNvPr id="2" name="Rectangle: Rounded Corners 1">
          <a:extLst>
            <a:ext uri="{FF2B5EF4-FFF2-40B4-BE49-F238E27FC236}">
              <a16:creationId xmlns:a16="http://schemas.microsoft.com/office/drawing/2014/main" id="{7C403548-C80A-D432-F6FB-FC0621C589DE}"/>
            </a:ext>
          </a:extLst>
        </xdr:cNvPr>
        <xdr:cNvSpPr/>
      </xdr:nvSpPr>
      <xdr:spPr>
        <a:xfrm>
          <a:off x="13902764" y="874060"/>
          <a:ext cx="2166471" cy="358588"/>
        </a:xfrm>
        <a:prstGeom prst="roundRect">
          <a:avLst>
            <a:gd name="adj"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Forecast</a:t>
          </a:r>
          <a:r>
            <a:rPr lang="en-US" sz="1400" b="1" baseline="0"/>
            <a:t> Income</a:t>
          </a:r>
          <a:endParaRPr lang="en-US" sz="1400" b="1"/>
        </a:p>
      </xdr:txBody>
    </xdr:sp>
    <xdr:clientData/>
  </xdr:twoCellAnchor>
  <xdr:twoCellAnchor>
    <xdr:from>
      <xdr:col>14</xdr:col>
      <xdr:colOff>156883</xdr:colOff>
      <xdr:row>5</xdr:row>
      <xdr:rowOff>186764</xdr:rowOff>
    </xdr:from>
    <xdr:to>
      <xdr:col>16</xdr:col>
      <xdr:colOff>754531</xdr:colOff>
      <xdr:row>7</xdr:row>
      <xdr:rowOff>104589</xdr:rowOff>
    </xdr:to>
    <xdr:sp macro="[0]!ClearForcast" textlink="">
      <xdr:nvSpPr>
        <xdr:cNvPr id="3" name="Rectangle: Rounded Corners 2">
          <a:extLst>
            <a:ext uri="{FF2B5EF4-FFF2-40B4-BE49-F238E27FC236}">
              <a16:creationId xmlns:a16="http://schemas.microsoft.com/office/drawing/2014/main" id="{D865FC06-9E0F-6A6D-E5BF-51B81192715C}"/>
            </a:ext>
          </a:extLst>
        </xdr:cNvPr>
        <xdr:cNvSpPr/>
      </xdr:nvSpPr>
      <xdr:spPr>
        <a:xfrm>
          <a:off x="13910236" y="1553882"/>
          <a:ext cx="2226236" cy="32123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rPr>
            <a:t>Clear</a:t>
          </a:r>
          <a:r>
            <a:rPr lang="en-US" sz="1400" baseline="0">
              <a:solidFill>
                <a:schemeClr val="bg1"/>
              </a:solidFill>
            </a:rPr>
            <a:t> Forecast</a:t>
          </a:r>
          <a:endParaRPr lang="en-US" sz="1400">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3196C-7DF0-4E1E-A03E-F4DFD495937C}">
  <sheetPr codeName="Sheet1"/>
  <dimension ref="A1:O17"/>
  <sheetViews>
    <sheetView tabSelected="1" topLeftCell="B1" workbookViewId="0">
      <selection activeCell="G32" sqref="G32"/>
    </sheetView>
  </sheetViews>
  <sheetFormatPr defaultRowHeight="14"/>
  <cols>
    <col min="1" max="1" width="11.25" bestFit="1" customWidth="1"/>
    <col min="2" max="2" width="34.1640625" customWidth="1"/>
    <col min="3" max="3" width="14.75" bestFit="1" customWidth="1"/>
    <col min="4" max="4" width="11.25" bestFit="1" customWidth="1"/>
    <col min="5" max="5" width="10.9140625" customWidth="1"/>
    <col min="6" max="6" width="11.6640625" customWidth="1"/>
    <col min="7" max="7" width="9.1640625" bestFit="1" customWidth="1"/>
    <col min="8" max="8" width="3.33203125" customWidth="1"/>
    <col min="12" max="12" width="9.83203125" customWidth="1"/>
    <col min="13" max="13" width="11.83203125" customWidth="1"/>
    <col min="14" max="14" width="9.5" customWidth="1"/>
    <col min="15" max="15" width="12.08203125" customWidth="1"/>
  </cols>
  <sheetData>
    <row r="1" spans="1:15" ht="27.5">
      <c r="B1" s="23" t="s">
        <v>0</v>
      </c>
      <c r="C1" t="s">
        <v>1</v>
      </c>
      <c r="I1" s="49" t="s">
        <v>17</v>
      </c>
      <c r="J1" s="50"/>
      <c r="K1" s="50"/>
      <c r="L1" s="50"/>
      <c r="M1" s="47"/>
      <c r="N1" s="48" t="s">
        <v>52</v>
      </c>
      <c r="O1" s="47"/>
    </row>
    <row r="2" spans="1:15" ht="15.5">
      <c r="C2" s="1">
        <v>2021</v>
      </c>
      <c r="D2" s="1">
        <v>2022</v>
      </c>
      <c r="E2" s="1">
        <v>2023</v>
      </c>
      <c r="F2" s="1">
        <v>2024</v>
      </c>
      <c r="G2" s="1">
        <v>2025</v>
      </c>
      <c r="M2" t="s">
        <v>44</v>
      </c>
      <c r="N2" t="s">
        <v>22</v>
      </c>
      <c r="O2" t="s">
        <v>18</v>
      </c>
    </row>
    <row r="3" spans="1:15" ht="14.5" customHeight="1">
      <c r="A3" s="44" t="s">
        <v>2</v>
      </c>
      <c r="B3" s="2" t="s">
        <v>3</v>
      </c>
      <c r="C3" s="12">
        <v>45677</v>
      </c>
      <c r="D3" s="12">
        <f>C3*$O$3</f>
        <v>45220.23</v>
      </c>
      <c r="E3" s="12">
        <f t="shared" ref="E3:G3" si="0">D3*$O$3</f>
        <v>44768.027700000006</v>
      </c>
      <c r="F3" s="12">
        <f t="shared" si="0"/>
        <v>44320.347423000007</v>
      </c>
      <c r="G3" s="12">
        <f t="shared" si="0"/>
        <v>43877.143948770004</v>
      </c>
      <c r="I3" t="s">
        <v>3</v>
      </c>
      <c r="M3" s="24">
        <v>-0.01</v>
      </c>
      <c r="N3" s="26" t="s">
        <v>20</v>
      </c>
      <c r="O3" cm="1">
        <f t="array" ref="O3">_xlfn.IFS(N3="Increase",1+M3,N3="Decrease",1-M3,N3="No change",1*1)</f>
        <v>0.99</v>
      </c>
    </row>
    <row r="4" spans="1:15" ht="15.5">
      <c r="A4" s="45"/>
      <c r="B4" s="3" t="s">
        <v>4</v>
      </c>
      <c r="C4" s="13">
        <v>-65007</v>
      </c>
      <c r="D4" s="29">
        <f>C4*$O$4</f>
        <v>-64356.93</v>
      </c>
      <c r="E4" s="29">
        <f t="shared" ref="E4:G4" si="1">D4*$O$4</f>
        <v>-63713.360699999997</v>
      </c>
      <c r="F4" s="29">
        <f t="shared" si="1"/>
        <v>-63076.227092999994</v>
      </c>
      <c r="G4" s="29">
        <f t="shared" si="1"/>
        <v>-62445.464822069996</v>
      </c>
      <c r="I4" t="s">
        <v>4</v>
      </c>
      <c r="M4" s="24">
        <v>-0.01</v>
      </c>
      <c r="N4" s="26" t="s">
        <v>20</v>
      </c>
      <c r="O4" cm="1">
        <f t="array" ref="O4">_xlfn.IFS(N4="Increase",1+M4,N4="Decrease",1-M4,N4="No change",1*1)</f>
        <v>0.99</v>
      </c>
    </row>
    <row r="5" spans="1:15" ht="14.5" thickBot="1">
      <c r="A5" s="45"/>
      <c r="B5" s="4" t="s">
        <v>5</v>
      </c>
      <c r="C5" s="14">
        <v>567485</v>
      </c>
      <c r="D5" s="12">
        <f>C5*$O$5</f>
        <v>578834.69999999995</v>
      </c>
      <c r="E5" s="12">
        <f t="shared" ref="E5:G5" si="2">D5*$O$5</f>
        <v>590411.39399999997</v>
      </c>
      <c r="F5" s="12">
        <f t="shared" si="2"/>
        <v>602219.62187999999</v>
      </c>
      <c r="G5" s="12">
        <f t="shared" si="2"/>
        <v>614264.01431760006</v>
      </c>
      <c r="I5" t="s">
        <v>5</v>
      </c>
      <c r="M5" s="25">
        <v>0.02</v>
      </c>
      <c r="N5" t="s">
        <v>20</v>
      </c>
      <c r="O5" s="27" cm="1">
        <f t="array" ref="O5">_xlfn.IFS(AND(N5="Increase",$K$15&gt;=0.02,$K$15&lt;=0.04),(1+M5)*0.9975,AND(N5="Increase",$K$15&gt;=0.05,$K$15&lt;=0.07),(1+M5)*1.00625,AND(N5="Decrease",$K$15&gt;=0.02,$K$15&lt;=0.04),(1-M5)*0.9975,AND(N5="Decrease",$K$15&gt;=0.05,$K$15&lt;=0.07),(1-M5)*1.00625,N5="No Change",1*1,$K$15&gt;0.07,1+M5)</f>
        <v>1.02</v>
      </c>
    </row>
    <row r="6" spans="1:15" ht="16" thickTop="1">
      <c r="A6" s="46"/>
      <c r="B6" s="5" t="s">
        <v>6</v>
      </c>
      <c r="C6" s="15">
        <v>548155</v>
      </c>
      <c r="D6" s="15">
        <f>SUM(D3:D5)</f>
        <v>559698</v>
      </c>
      <c r="E6" s="15">
        <f t="shared" ref="E6:G6" si="3">SUM(E3:E5)</f>
        <v>571466.06099999999</v>
      </c>
      <c r="F6" s="15">
        <f t="shared" si="3"/>
        <v>583463.74221000005</v>
      </c>
      <c r="G6" s="15">
        <f t="shared" si="3"/>
        <v>595695.69344430009</v>
      </c>
      <c r="I6" s="1"/>
      <c r="M6" s="24"/>
    </row>
    <row r="7" spans="1:15" ht="14.5" customHeight="1">
      <c r="A7" s="44" t="s">
        <v>7</v>
      </c>
      <c r="B7" s="6" t="s">
        <v>8</v>
      </c>
      <c r="C7" s="16">
        <v>65583</v>
      </c>
      <c r="D7" s="16">
        <f>C7*$O$7</f>
        <v>66894.66</v>
      </c>
      <c r="E7" s="16">
        <f t="shared" ref="E7:G7" si="4">D7*$O$7</f>
        <v>68232.553200000009</v>
      </c>
      <c r="F7" s="16">
        <f t="shared" si="4"/>
        <v>69597.204264000015</v>
      </c>
      <c r="G7" s="16">
        <f t="shared" si="4"/>
        <v>70989.148349280018</v>
      </c>
      <c r="I7" t="s">
        <v>8</v>
      </c>
      <c r="M7" s="24">
        <v>0.02</v>
      </c>
      <c r="N7" t="s">
        <v>21</v>
      </c>
      <c r="O7" cm="1">
        <f t="array" ref="O7">_xlfn.IFS(AND(N7="Increase",$K$15&gt;=0.02,$K$15&lt;=0.04),(1+M7)*1.01,AND(N7="Increase",$K$15&gt;=0.05,$K$15&lt;=0.07),(1+M7)*0.9993,AND(N7="Decrease",$K$15&gt;=0.02,$K$15&lt;=0.04),(1-M7)*1.01,AND(N7="Decrease",$K$15&gt;=0.05,$K$15&lt;=0.07),(1-M7)*0.9993,N7="No Change",1*1,$K$15&gt;0.07,1+M7)</f>
        <v>1.02</v>
      </c>
    </row>
    <row r="8" spans="1:15" ht="14.5" customHeight="1">
      <c r="A8" s="45"/>
      <c r="B8" s="7" t="s">
        <v>9</v>
      </c>
      <c r="C8" s="17">
        <v>55478</v>
      </c>
      <c r="D8" s="16">
        <f>C8*$O$8</f>
        <v>54368.44</v>
      </c>
      <c r="E8" s="16">
        <f t="shared" ref="E8:G8" si="5">D8*$O$8</f>
        <v>53281.071199999998</v>
      </c>
      <c r="F8" s="16">
        <f t="shared" si="5"/>
        <v>52215.449775999994</v>
      </c>
      <c r="G8" s="16">
        <f t="shared" si="5"/>
        <v>51171.140780479996</v>
      </c>
      <c r="I8" t="s">
        <v>9</v>
      </c>
      <c r="M8" s="24">
        <v>-0.02</v>
      </c>
      <c r="N8" t="s">
        <v>20</v>
      </c>
      <c r="O8" cm="1">
        <f t="array" ref="O8">_xlfn.IFS(N8="Increase",1+M8,N8="Decrease",1-M8,N8="No change",1*1)</f>
        <v>0.98</v>
      </c>
    </row>
    <row r="9" spans="1:15" ht="14.5" customHeight="1">
      <c r="A9" s="45"/>
      <c r="B9" s="7" t="s">
        <v>10</v>
      </c>
      <c r="C9" s="18">
        <v>78965</v>
      </c>
      <c r="D9" s="16">
        <f>C9*$O$9</f>
        <v>80544.3</v>
      </c>
      <c r="E9" s="16">
        <f t="shared" ref="E9:G9" si="6">D9*$O$9</f>
        <v>82155.186000000002</v>
      </c>
      <c r="F9" s="16">
        <f t="shared" si="6"/>
        <v>83798.289720000001</v>
      </c>
      <c r="G9" s="16">
        <f t="shared" si="6"/>
        <v>85474.255514400007</v>
      </c>
      <c r="I9" t="s">
        <v>10</v>
      </c>
      <c r="M9" s="25">
        <v>0.02</v>
      </c>
      <c r="N9" t="s">
        <v>20</v>
      </c>
      <c r="O9" cm="1">
        <f t="array" ref="O9">_xlfn.IFS(AND(N9="Increase",$K$15&gt;=0.02,$K$15&lt;=0.04),(1+M9)*1.02,N9="Increase",1+M9,AND(N9="Decrease",$K$15&gt;=0.02,$K$15&lt;=0.04),(1-M9)*1.02,N9="Decrease",1-M9,N9="No Change",1*1)</f>
        <v>1.02</v>
      </c>
    </row>
    <row r="10" spans="1:15" ht="15.5">
      <c r="A10" s="45"/>
      <c r="B10" s="7" t="s">
        <v>11</v>
      </c>
      <c r="C10" s="19">
        <v>-2456</v>
      </c>
      <c r="D10" s="28">
        <f>C10*$O$10</f>
        <v>-2406.88</v>
      </c>
      <c r="E10" s="28">
        <f t="shared" ref="E10:G10" si="7">D10*$O$10</f>
        <v>-2358.7424000000001</v>
      </c>
      <c r="F10" s="28">
        <f t="shared" si="7"/>
        <v>-2311.567552</v>
      </c>
      <c r="G10" s="28">
        <f t="shared" si="7"/>
        <v>-2265.33620096</v>
      </c>
      <c r="I10" t="s">
        <v>11</v>
      </c>
      <c r="M10" s="25">
        <v>0.02</v>
      </c>
      <c r="N10" t="s">
        <v>21</v>
      </c>
      <c r="O10" cm="1">
        <f t="array" ref="O10">_xlfn.IFS(N10="Increase",1+M10,N10="Decrease",1-M10,N10="No change",1*1)</f>
        <v>0.98</v>
      </c>
    </row>
    <row r="11" spans="1:15" ht="14.5" customHeight="1">
      <c r="A11" s="45"/>
      <c r="B11" s="7" t="s">
        <v>12</v>
      </c>
      <c r="C11" s="17">
        <v>3456</v>
      </c>
      <c r="D11" s="16">
        <f>C11*$O$11</f>
        <v>3352.3199999999997</v>
      </c>
      <c r="E11" s="17">
        <v>3456</v>
      </c>
      <c r="F11" s="17">
        <v>3456</v>
      </c>
      <c r="G11" s="17">
        <v>3456</v>
      </c>
      <c r="I11" t="s">
        <v>12</v>
      </c>
      <c r="M11" s="24">
        <v>-0.03</v>
      </c>
      <c r="N11" t="s">
        <v>20</v>
      </c>
      <c r="O11" cm="1">
        <f t="array" ref="O11">_xlfn.IFS(N11="Increase",1+M11,N11="Decrease",1-M11,N11="No change",1*1)</f>
        <v>0.97</v>
      </c>
    </row>
    <row r="12" spans="1:15" ht="15" customHeight="1" thickBot="1">
      <c r="A12" s="45"/>
      <c r="B12" s="8" t="s">
        <v>13</v>
      </c>
      <c r="C12" s="20">
        <v>2870</v>
      </c>
      <c r="D12" s="16">
        <f>C12*$O$12</f>
        <v>2697.7999999999997</v>
      </c>
      <c r="E12" s="16">
        <f t="shared" ref="E12:G12" si="8">D12*$O$12</f>
        <v>2535.9319999999998</v>
      </c>
      <c r="F12" s="16">
        <f t="shared" si="8"/>
        <v>2383.7760799999996</v>
      </c>
      <c r="G12" s="16">
        <f t="shared" si="8"/>
        <v>2240.7495151999997</v>
      </c>
      <c r="I12" t="s">
        <v>13</v>
      </c>
      <c r="M12" s="25">
        <v>0.06</v>
      </c>
      <c r="N12" t="s">
        <v>21</v>
      </c>
      <c r="O12" cm="1">
        <f t="array" ref="O12">_xlfn.IFS(AND(N12="Increase",$K$15&gt;=0.02,$K$15&lt;=0.04),(1+M12)*1.015,N12="Increase",1+M12,AND(N12="Decrease",$K$15&gt;=0.02,$K$15&lt;=0.04),(1-M12)*1.015,N12="Decrease",1-M12,N12="No Change",1*1)</f>
        <v>0.94</v>
      </c>
    </row>
    <row r="13" spans="1:15" ht="16.5" thickTop="1" thickBot="1">
      <c r="A13" s="46"/>
      <c r="B13" s="9" t="s">
        <v>14</v>
      </c>
      <c r="C13" s="21">
        <v>203896</v>
      </c>
      <c r="D13" s="21">
        <f>SUM(D7:D12)</f>
        <v>205450.64</v>
      </c>
      <c r="E13" s="21">
        <f t="shared" ref="E13:G13" si="9">SUM(E7:E12)</f>
        <v>207302.00000000003</v>
      </c>
      <c r="F13" s="21">
        <f t="shared" si="9"/>
        <v>209139.15228800001</v>
      </c>
      <c r="G13" s="21">
        <f t="shared" si="9"/>
        <v>211065.95795840002</v>
      </c>
    </row>
    <row r="14" spans="1:15" ht="16" thickTop="1">
      <c r="A14" s="10" t="s">
        <v>15</v>
      </c>
      <c r="B14" s="11" t="s">
        <v>16</v>
      </c>
      <c r="C14" s="22">
        <v>344259</v>
      </c>
      <c r="D14" s="22">
        <f>D6-D13</f>
        <v>354247.36</v>
      </c>
      <c r="E14" s="22">
        <f t="shared" ref="E14:G14" si="10">E6-E13</f>
        <v>364164.06099999999</v>
      </c>
      <c r="F14" s="22">
        <f t="shared" si="10"/>
        <v>374324.58992200007</v>
      </c>
      <c r="G14" s="22">
        <f t="shared" si="10"/>
        <v>384629.73548590008</v>
      </c>
    </row>
    <row r="15" spans="1:15">
      <c r="I15" s="30" t="s">
        <v>19</v>
      </c>
      <c r="K15" s="24">
        <v>0.08</v>
      </c>
    </row>
    <row r="17" spans="2:4" ht="20">
      <c r="B17" s="33" t="s">
        <v>45</v>
      </c>
      <c r="C17" s="32">
        <f>SUM(C14:G14)</f>
        <v>1821624.7464079005</v>
      </c>
      <c r="D17" t="s">
        <v>46</v>
      </c>
    </row>
  </sheetData>
  <mergeCells count="2">
    <mergeCell ref="A3:A6"/>
    <mergeCell ref="A7:A13"/>
  </mergeCells>
  <conditionalFormatting sqref="N3:N12">
    <cfRule type="containsText" dxfId="1" priority="2" operator="containsText" text="Increase">
      <formula>NOT(ISERROR(SEARCH("Increase",N3)))</formula>
    </cfRule>
    <cfRule type="containsText" dxfId="0" priority="1" operator="containsText" text="Decrease">
      <formula>NOT(ISERROR(SEARCH("Decrease",N3)))</formula>
    </cfRule>
  </conditionalFormatting>
  <dataValidations count="1">
    <dataValidation type="list" allowBlank="1" showInputMessage="1" showErrorMessage="1" sqref="N3:N12" xr:uid="{188AAEBB-BE7A-415C-9A6F-62FECBE49A86}">
      <formula1>"Increase, Decrease, No change"</formula1>
    </dataValidation>
  </dataValidations>
  <pageMargins left="0.7" right="0.7" top="0.75" bottom="0.75" header="0.3" footer="0.3"/>
  <ignoredErrors>
    <ignoredError sqref="O9"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B8054-68D1-4D8D-B193-7BF1F4B15545}">
  <sheetPr codeName="Sheet3"/>
  <dimension ref="A1:O101"/>
  <sheetViews>
    <sheetView topLeftCell="D1" zoomScale="85" zoomScaleNormal="85" workbookViewId="0">
      <selection activeCell="K2" sqref="K2"/>
    </sheetView>
  </sheetViews>
  <sheetFormatPr defaultColWidth="11.6640625" defaultRowHeight="15.5"/>
  <cols>
    <col min="1" max="1" width="9.83203125" style="37" customWidth="1"/>
    <col min="2" max="10" width="15.4140625" style="38" customWidth="1"/>
    <col min="11" max="11" width="14.33203125" style="36" customWidth="1"/>
    <col min="12" max="12" width="16.83203125" style="36" customWidth="1"/>
    <col min="13" max="13" width="18.25" style="36" customWidth="1"/>
    <col min="14" max="14" width="17.25" style="36" customWidth="1"/>
    <col min="15" max="16384" width="11.6640625" style="36"/>
  </cols>
  <sheetData>
    <row r="1" spans="1:15" ht="42.5">
      <c r="A1" s="34" t="s">
        <v>47</v>
      </c>
      <c r="B1" s="34" t="s">
        <v>3</v>
      </c>
      <c r="C1" s="34" t="s">
        <v>4</v>
      </c>
      <c r="D1" s="34" t="s">
        <v>5</v>
      </c>
      <c r="E1" s="34" t="s">
        <v>8</v>
      </c>
      <c r="F1" s="34" t="s">
        <v>9</v>
      </c>
      <c r="G1" s="34" t="s">
        <v>10</v>
      </c>
      <c r="H1" s="34" t="s">
        <v>11</v>
      </c>
      <c r="I1" s="34" t="s">
        <v>12</v>
      </c>
      <c r="J1" s="35" t="s">
        <v>13</v>
      </c>
      <c r="K1" s="34" t="s">
        <v>51</v>
      </c>
      <c r="L1" s="34" t="s">
        <v>48</v>
      </c>
      <c r="M1" s="34" t="s">
        <v>49</v>
      </c>
      <c r="N1" s="34" t="s">
        <v>50</v>
      </c>
      <c r="O1" s="43" t="s">
        <v>46</v>
      </c>
    </row>
    <row r="2" spans="1:15">
      <c r="A2" s="37">
        <v>1</v>
      </c>
      <c r="B2" s="38">
        <v>0.01</v>
      </c>
      <c r="C2" s="38">
        <v>0.03</v>
      </c>
      <c r="D2" s="38">
        <v>-0.01</v>
      </c>
      <c r="E2" s="38">
        <v>-0.05</v>
      </c>
      <c r="F2" s="38">
        <v>0.01</v>
      </c>
      <c r="G2" s="38">
        <v>0.04</v>
      </c>
      <c r="H2" s="38">
        <v>0.06</v>
      </c>
      <c r="I2" s="38">
        <v>0.01</v>
      </c>
      <c r="J2" s="39">
        <v>-0.02</v>
      </c>
      <c r="K2" s="36">
        <v>1534649.7880069837</v>
      </c>
      <c r="L2" s="36">
        <v>1534649.7880069837</v>
      </c>
      <c r="M2" s="36">
        <v>1609832.3642815542</v>
      </c>
      <c r="N2" s="36">
        <v>1640334.8451675801</v>
      </c>
    </row>
    <row r="3" spans="1:15">
      <c r="A3" s="37">
        <v>2</v>
      </c>
      <c r="B3" s="38">
        <v>0.05</v>
      </c>
      <c r="C3" s="38">
        <v>0.09</v>
      </c>
      <c r="D3" s="38">
        <v>0.02</v>
      </c>
      <c r="E3" s="38">
        <v>0.04</v>
      </c>
      <c r="F3" s="38">
        <v>0.01</v>
      </c>
      <c r="G3" s="38">
        <v>0.02</v>
      </c>
      <c r="H3" s="38">
        <v>7.0000000000000007E-2</v>
      </c>
      <c r="I3" s="38">
        <v>0.01</v>
      </c>
      <c r="J3" s="39">
        <v>-0.01</v>
      </c>
      <c r="K3" s="36">
        <v>1760202.4878839629</v>
      </c>
      <c r="L3" s="36">
        <v>1760202.4878839629</v>
      </c>
      <c r="M3" s="36">
        <v>1836933.2135009638</v>
      </c>
      <c r="N3" s="36">
        <v>1746134.18309778</v>
      </c>
    </row>
    <row r="4" spans="1:15">
      <c r="A4" s="37">
        <v>3</v>
      </c>
      <c r="B4" s="38">
        <v>0.03</v>
      </c>
      <c r="C4" s="38">
        <v>0.02</v>
      </c>
      <c r="D4" s="38">
        <v>0.03</v>
      </c>
      <c r="E4" s="38">
        <v>-0.04</v>
      </c>
      <c r="F4" s="38">
        <v>7.0000000000000007E-2</v>
      </c>
      <c r="G4" s="38">
        <v>-0.06</v>
      </c>
      <c r="H4" s="38">
        <v>0.02</v>
      </c>
      <c r="I4" s="38">
        <v>-0.03</v>
      </c>
      <c r="J4" s="39">
        <v>0.04</v>
      </c>
      <c r="K4" s="36">
        <v>1837258.4861632597</v>
      </c>
      <c r="L4" s="36">
        <v>1837258.4861632597</v>
      </c>
      <c r="M4" s="36">
        <v>1913510.3867603806</v>
      </c>
      <c r="N4" s="36">
        <v>1926482.2007402007</v>
      </c>
    </row>
    <row r="5" spans="1:15">
      <c r="A5" s="37">
        <v>4</v>
      </c>
      <c r="B5" s="38">
        <v>0.03</v>
      </c>
      <c r="C5" s="38">
        <v>-0.08</v>
      </c>
      <c r="D5" s="38">
        <v>0.04</v>
      </c>
      <c r="E5" s="38">
        <v>-0.04</v>
      </c>
      <c r="F5" s="38">
        <v>-0.01</v>
      </c>
      <c r="G5" s="38">
        <v>0.05</v>
      </c>
      <c r="H5" s="38">
        <v>0.02</v>
      </c>
      <c r="I5" s="38">
        <v>0.06</v>
      </c>
      <c r="J5" s="39">
        <v>0.02</v>
      </c>
      <c r="K5" s="36">
        <v>1913754.8202313916</v>
      </c>
      <c r="L5" s="36">
        <v>1913754.8202313916</v>
      </c>
      <c r="M5" s="36">
        <v>1996935.8884994853</v>
      </c>
      <c r="N5" s="36">
        <v>2008745.7299285005</v>
      </c>
    </row>
    <row r="6" spans="1:15">
      <c r="A6" s="37">
        <v>5</v>
      </c>
      <c r="B6" s="38">
        <v>0.04</v>
      </c>
      <c r="C6" s="38">
        <v>0.06</v>
      </c>
      <c r="D6" s="38">
        <v>0.02</v>
      </c>
      <c r="E6" s="38">
        <v>-0.02</v>
      </c>
      <c r="F6" s="38">
        <v>7.0000000000000007E-2</v>
      </c>
      <c r="G6" s="38">
        <v>0.05</v>
      </c>
      <c r="H6" s="38">
        <v>0.06</v>
      </c>
      <c r="I6" s="38">
        <v>-0.03</v>
      </c>
      <c r="J6" s="39">
        <v>-0.01</v>
      </c>
      <c r="K6" s="36">
        <v>1675388.9300327962</v>
      </c>
      <c r="L6" s="36">
        <v>1675388.9300327962</v>
      </c>
      <c r="M6" s="36">
        <v>1754945.4087612089</v>
      </c>
      <c r="N6" s="36">
        <v>1742812.4950647498</v>
      </c>
    </row>
    <row r="7" spans="1:15">
      <c r="A7" s="37">
        <v>6</v>
      </c>
      <c r="B7" s="38">
        <v>-0.01</v>
      </c>
      <c r="C7" s="38">
        <v>-0.06</v>
      </c>
      <c r="D7" s="38">
        <v>0.03</v>
      </c>
      <c r="E7" s="38">
        <v>-0.05</v>
      </c>
      <c r="F7" s="38">
        <v>7.0000000000000007E-2</v>
      </c>
      <c r="G7" s="38">
        <v>-0.05</v>
      </c>
      <c r="H7" s="38">
        <v>7.0000000000000007E-2</v>
      </c>
      <c r="I7" s="38">
        <v>-0.01</v>
      </c>
      <c r="J7" s="39">
        <v>0.02</v>
      </c>
      <c r="K7" s="36">
        <v>1851979.534137181</v>
      </c>
      <c r="L7" s="36">
        <v>1851979.534137181</v>
      </c>
      <c r="M7" s="36">
        <v>1928917.2630102055</v>
      </c>
      <c r="N7" s="36">
        <v>1955030.4228264806</v>
      </c>
    </row>
    <row r="8" spans="1:15">
      <c r="A8" s="37">
        <v>7</v>
      </c>
      <c r="B8" s="38">
        <v>0.02</v>
      </c>
      <c r="C8" s="38">
        <v>0.06</v>
      </c>
      <c r="D8" s="38">
        <v>0.05</v>
      </c>
      <c r="E8" s="38">
        <v>0.05</v>
      </c>
      <c r="F8" s="38">
        <v>0.02</v>
      </c>
      <c r="G8" s="38">
        <v>0.03</v>
      </c>
      <c r="H8" s="38">
        <v>-0.01</v>
      </c>
      <c r="I8" s="38">
        <v>0.03</v>
      </c>
      <c r="J8" s="39">
        <v>-0.02</v>
      </c>
      <c r="K8" s="36">
        <v>1942338.9850728149</v>
      </c>
      <c r="L8" s="36">
        <v>1942338.9850728149</v>
      </c>
      <c r="M8" s="36">
        <v>2024272.5645514312</v>
      </c>
      <c r="N8" s="36">
        <v>1916842.9597873301</v>
      </c>
    </row>
    <row r="9" spans="1:15">
      <c r="A9" s="37">
        <v>8</v>
      </c>
      <c r="B9" s="38">
        <v>-0.02</v>
      </c>
      <c r="C9" s="38">
        <v>0.04</v>
      </c>
      <c r="D9" s="38">
        <v>0.01</v>
      </c>
      <c r="E9" s="38">
        <v>0.04</v>
      </c>
      <c r="F9" s="38">
        <v>0.02</v>
      </c>
      <c r="G9" s="38">
        <v>7.0000000000000007E-2</v>
      </c>
      <c r="H9" s="38">
        <v>-0.01</v>
      </c>
      <c r="I9" s="38">
        <v>-0.01</v>
      </c>
      <c r="J9" s="39">
        <v>-0.01</v>
      </c>
      <c r="K9" s="36">
        <v>1656499.6864358697</v>
      </c>
      <c r="L9" s="36">
        <v>1656499.6864358697</v>
      </c>
      <c r="M9" s="36">
        <v>1734371.8359953505</v>
      </c>
      <c r="N9" s="36">
        <v>1644682.6512224998</v>
      </c>
    </row>
    <row r="10" spans="1:15">
      <c r="A10" s="37">
        <v>9</v>
      </c>
      <c r="B10" s="38">
        <v>-0.02</v>
      </c>
      <c r="C10" s="38">
        <v>-0.08</v>
      </c>
      <c r="D10" s="38">
        <v>7.0000000000000007E-2</v>
      </c>
      <c r="E10" s="38">
        <v>-0.06</v>
      </c>
      <c r="F10" s="38">
        <v>0.03</v>
      </c>
      <c r="G10" s="38">
        <v>0.01</v>
      </c>
      <c r="H10" s="38">
        <v>-0.02</v>
      </c>
      <c r="I10" s="38">
        <v>0.05</v>
      </c>
      <c r="J10" s="39">
        <v>-0.02</v>
      </c>
      <c r="K10" s="36">
        <v>2076870.8456782023</v>
      </c>
      <c r="L10" s="36">
        <v>2076870.8456782023</v>
      </c>
      <c r="M10" s="36">
        <v>2163593.8491504625</v>
      </c>
      <c r="N10" s="36">
        <v>2198057.9445277005</v>
      </c>
    </row>
    <row r="11" spans="1:15">
      <c r="A11" s="37">
        <v>10</v>
      </c>
      <c r="B11" s="38">
        <v>0.06</v>
      </c>
      <c r="C11" s="38">
        <v>-0.02</v>
      </c>
      <c r="D11" s="38">
        <v>0.06</v>
      </c>
      <c r="E11" s="38">
        <v>-0.04</v>
      </c>
      <c r="F11" s="38">
        <v>-0.02</v>
      </c>
      <c r="G11" s="38">
        <v>0.06</v>
      </c>
      <c r="H11" s="38">
        <v>0.08</v>
      </c>
      <c r="I11" s="38">
        <v>0.02</v>
      </c>
      <c r="J11" s="39">
        <v>0.02</v>
      </c>
      <c r="K11" s="36">
        <v>2012639.3882932016</v>
      </c>
      <c r="L11" s="36">
        <v>2012639.3882932016</v>
      </c>
      <c r="M11" s="36">
        <v>2099727.0124787986</v>
      </c>
      <c r="N11" s="36">
        <v>2109132.4103215998</v>
      </c>
    </row>
    <row r="12" spans="1:15">
      <c r="A12" s="37">
        <v>11</v>
      </c>
      <c r="B12" s="38">
        <v>0.03</v>
      </c>
      <c r="C12" s="38">
        <v>-0.03</v>
      </c>
      <c r="D12" s="38">
        <v>-0.01</v>
      </c>
      <c r="E12" s="38">
        <v>-0.04</v>
      </c>
      <c r="F12" s="38">
        <v>0.02</v>
      </c>
      <c r="G12" s="38">
        <v>-0.01</v>
      </c>
      <c r="H12" s="38">
        <v>7.0000000000000007E-2</v>
      </c>
      <c r="I12" s="38">
        <v>7.0000000000000007E-2</v>
      </c>
      <c r="J12" s="39">
        <v>0.01</v>
      </c>
      <c r="K12" s="36">
        <v>1628543.5896585733</v>
      </c>
      <c r="L12" s="36">
        <v>1628543.5896585733</v>
      </c>
      <c r="M12" s="36">
        <v>1700938.2698392295</v>
      </c>
      <c r="N12" s="36">
        <v>1718299.4048888003</v>
      </c>
    </row>
    <row r="13" spans="1:15">
      <c r="A13" s="37">
        <v>12</v>
      </c>
      <c r="B13" s="38">
        <v>-0.02</v>
      </c>
      <c r="C13" s="38">
        <v>-0.03</v>
      </c>
      <c r="D13" s="38">
        <v>0.05</v>
      </c>
      <c r="E13" s="38">
        <v>0.05</v>
      </c>
      <c r="F13" s="38">
        <v>0.06</v>
      </c>
      <c r="G13" s="38">
        <v>0.01</v>
      </c>
      <c r="H13" s="38">
        <v>0.01</v>
      </c>
      <c r="I13" s="38">
        <v>-0.02</v>
      </c>
      <c r="J13" s="39">
        <v>-0.01</v>
      </c>
      <c r="K13" s="36">
        <v>1977822.9702764642</v>
      </c>
      <c r="L13" s="36">
        <v>1977822.9702764642</v>
      </c>
      <c r="M13" s="36">
        <v>2058726.804435581</v>
      </c>
      <c r="N13" s="36">
        <v>1951297.1996714799</v>
      </c>
    </row>
    <row r="14" spans="1:15">
      <c r="A14" s="37">
        <v>13</v>
      </c>
      <c r="B14" s="38">
        <v>0.01</v>
      </c>
      <c r="C14" s="38">
        <v>0.02</v>
      </c>
      <c r="D14" s="38">
        <v>-0.01</v>
      </c>
      <c r="E14" s="38">
        <v>0.02</v>
      </c>
      <c r="F14" s="38">
        <v>0.01</v>
      </c>
      <c r="G14" s="38">
        <v>-0.02</v>
      </c>
      <c r="H14" s="38">
        <v>0.02</v>
      </c>
      <c r="I14" s="38">
        <v>7.0000000000000007E-2</v>
      </c>
      <c r="J14" s="39">
        <v>0.05</v>
      </c>
      <c r="K14" s="36">
        <v>1644328.8307643859</v>
      </c>
      <c r="L14" s="36">
        <v>1644328.8307643859</v>
      </c>
      <c r="M14" s="36">
        <v>1714898.6446260645</v>
      </c>
      <c r="N14" s="36">
        <v>1653597.5165835</v>
      </c>
    </row>
    <row r="15" spans="1:15">
      <c r="A15" s="37">
        <v>14</v>
      </c>
      <c r="B15" s="38">
        <v>0.01</v>
      </c>
      <c r="C15" s="38">
        <v>0.02</v>
      </c>
      <c r="D15" s="38">
        <v>-0.01</v>
      </c>
      <c r="E15" s="38">
        <v>-0.06</v>
      </c>
      <c r="F15" s="38">
        <v>0.04</v>
      </c>
      <c r="G15" s="38">
        <v>-0.03</v>
      </c>
      <c r="H15" s="38">
        <v>7.0000000000000007E-2</v>
      </c>
      <c r="I15" s="38">
        <v>-0.02</v>
      </c>
      <c r="J15" s="39">
        <v>0.02</v>
      </c>
      <c r="K15" s="36">
        <v>1576843.6665705177</v>
      </c>
      <c r="L15" s="36">
        <v>1576843.6665705177</v>
      </c>
      <c r="M15" s="36">
        <v>1648777.7718281292</v>
      </c>
      <c r="N15" s="36">
        <v>1692440.92569385</v>
      </c>
    </row>
    <row r="16" spans="1:15">
      <c r="A16" s="37">
        <v>15</v>
      </c>
      <c r="B16" s="38">
        <v>0.01</v>
      </c>
      <c r="C16" s="38">
        <v>7.0000000000000007E-2</v>
      </c>
      <c r="D16" s="38">
        <v>-0.02</v>
      </c>
      <c r="E16" s="38">
        <v>0.05</v>
      </c>
      <c r="F16" s="38">
        <v>0.03</v>
      </c>
      <c r="G16" s="38">
        <v>0.05</v>
      </c>
      <c r="H16" s="38">
        <v>0.01</v>
      </c>
      <c r="I16" s="38">
        <v>0.01</v>
      </c>
      <c r="J16" s="39">
        <v>0.06</v>
      </c>
      <c r="K16" s="36">
        <v>1501681.2993125075</v>
      </c>
      <c r="L16" s="36">
        <v>1501681.2993125075</v>
      </c>
      <c r="M16" s="36">
        <v>1573725.3922123616</v>
      </c>
      <c r="N16" s="36">
        <v>1474070.49017348</v>
      </c>
    </row>
    <row r="17" spans="1:14">
      <c r="A17" s="37">
        <v>16</v>
      </c>
      <c r="B17" s="38">
        <v>0.02</v>
      </c>
      <c r="C17" s="38">
        <v>-0.05</v>
      </c>
      <c r="D17" s="38">
        <v>0.03</v>
      </c>
      <c r="E17" s="38">
        <v>-0.03</v>
      </c>
      <c r="F17" s="38">
        <v>0.02</v>
      </c>
      <c r="G17" s="38">
        <v>-0.04</v>
      </c>
      <c r="H17" s="38">
        <v>7.0000000000000007E-2</v>
      </c>
      <c r="I17" s="38">
        <v>-0.02</v>
      </c>
      <c r="J17" s="39">
        <v>0.06</v>
      </c>
      <c r="K17" s="36">
        <v>1898467.8525346809</v>
      </c>
      <c r="L17" s="36">
        <v>1898467.8525346809</v>
      </c>
      <c r="M17" s="36">
        <v>1975326.7534436309</v>
      </c>
      <c r="N17" s="36">
        <v>1975172.6191766704</v>
      </c>
    </row>
    <row r="18" spans="1:14">
      <c r="A18" s="37">
        <v>17</v>
      </c>
      <c r="B18" s="38">
        <v>0.01</v>
      </c>
      <c r="C18" s="38">
        <v>-7.0000000000000007E-2</v>
      </c>
      <c r="D18" s="38">
        <v>7.0000000000000007E-2</v>
      </c>
      <c r="E18" s="38">
        <v>-0.04</v>
      </c>
      <c r="F18" s="38">
        <v>0.05</v>
      </c>
      <c r="G18" s="38">
        <v>0.05</v>
      </c>
      <c r="H18" s="38">
        <v>0.06</v>
      </c>
      <c r="I18" s="38">
        <v>-0.02</v>
      </c>
      <c r="J18" s="39">
        <v>0.02</v>
      </c>
      <c r="K18" s="36">
        <v>2051717.443583705</v>
      </c>
      <c r="L18" s="36">
        <v>2051717.443583705</v>
      </c>
      <c r="M18" s="36">
        <v>2139990.3377717929</v>
      </c>
      <c r="N18" s="36">
        <v>2148152.4143328806</v>
      </c>
    </row>
    <row r="19" spans="1:14">
      <c r="A19" s="37">
        <v>18</v>
      </c>
      <c r="B19" s="38">
        <v>-0.01</v>
      </c>
      <c r="C19" s="38">
        <v>0.02</v>
      </c>
      <c r="D19" s="38">
        <v>-0.01</v>
      </c>
      <c r="E19" s="38">
        <v>-0.03</v>
      </c>
      <c r="F19" s="38">
        <v>0.06</v>
      </c>
      <c r="G19" s="38">
        <v>0.03</v>
      </c>
      <c r="H19" s="38">
        <v>0.02</v>
      </c>
      <c r="I19" s="38">
        <v>-0.02</v>
      </c>
      <c r="J19" s="39">
        <v>0.04</v>
      </c>
      <c r="K19" s="36">
        <v>1529005.3090014262</v>
      </c>
      <c r="L19" s="36">
        <v>1529005.3090014262</v>
      </c>
      <c r="M19" s="36">
        <v>1603118.2151547093</v>
      </c>
      <c r="N19" s="36">
        <v>1607353.4019574998</v>
      </c>
    </row>
    <row r="20" spans="1:14">
      <c r="A20" s="37">
        <v>19</v>
      </c>
      <c r="B20" s="38">
        <v>0.04</v>
      </c>
      <c r="C20" s="38">
        <v>7.0000000000000007E-2</v>
      </c>
      <c r="D20" s="38">
        <v>0.02</v>
      </c>
      <c r="E20" s="38">
        <v>0.02</v>
      </c>
      <c r="F20" s="38">
        <v>0.06</v>
      </c>
      <c r="G20" s="38">
        <v>0.05</v>
      </c>
      <c r="H20" s="38">
        <v>-0.01</v>
      </c>
      <c r="I20" s="38">
        <v>0.01</v>
      </c>
      <c r="J20" s="39">
        <v>0.05</v>
      </c>
      <c r="K20" s="36">
        <v>1704568.6896117944</v>
      </c>
      <c r="L20" s="36">
        <v>1704568.6896117944</v>
      </c>
      <c r="M20" s="36">
        <v>1783198.4066474175</v>
      </c>
      <c r="N20" s="36">
        <v>1718643.6583602999</v>
      </c>
    </row>
    <row r="21" spans="1:14">
      <c r="A21" s="37">
        <v>20</v>
      </c>
      <c r="B21" s="38">
        <v>7.0000000000000007E-2</v>
      </c>
      <c r="C21" s="38">
        <v>0.05</v>
      </c>
      <c r="D21" s="38">
        <v>0.03</v>
      </c>
      <c r="E21" s="38">
        <v>-0.05</v>
      </c>
      <c r="F21" s="38">
        <v>0.03</v>
      </c>
      <c r="G21" s="38">
        <v>0.08</v>
      </c>
      <c r="H21" s="38">
        <v>0.05</v>
      </c>
      <c r="I21" s="38">
        <v>7.0000000000000007E-2</v>
      </c>
      <c r="J21" s="39">
        <v>0.05</v>
      </c>
      <c r="K21" s="36">
        <v>1732852.4977299143</v>
      </c>
      <c r="L21" s="36">
        <v>1732852.4977299143</v>
      </c>
      <c r="M21" s="36">
        <v>1816299.679782765</v>
      </c>
      <c r="N21" s="36">
        <v>1842412.8395990401</v>
      </c>
    </row>
    <row r="22" spans="1:14">
      <c r="A22" s="37">
        <v>21</v>
      </c>
      <c r="B22" s="38">
        <v>0.04</v>
      </c>
      <c r="C22" s="38">
        <v>-0.08</v>
      </c>
      <c r="D22" s="38">
        <v>0.04</v>
      </c>
      <c r="E22" s="38">
        <v>-0.03</v>
      </c>
      <c r="F22" s="38">
        <v>0.01</v>
      </c>
      <c r="G22" s="38">
        <v>0.03</v>
      </c>
      <c r="H22" s="38">
        <v>-0.01</v>
      </c>
      <c r="I22" s="38">
        <v>0.02</v>
      </c>
      <c r="J22" s="39">
        <v>0.04</v>
      </c>
      <c r="K22" s="36">
        <v>1934392.0469195647</v>
      </c>
      <c r="L22" s="36">
        <v>1934392.0469195647</v>
      </c>
      <c r="M22" s="36">
        <v>2016254.1153444652</v>
      </c>
      <c r="N22" s="36">
        <v>2014938.0085267003</v>
      </c>
    </row>
    <row r="23" spans="1:14">
      <c r="A23" s="37">
        <v>22</v>
      </c>
      <c r="B23" s="38">
        <v>0.05</v>
      </c>
      <c r="C23" s="38">
        <v>0.02</v>
      </c>
      <c r="D23" s="38">
        <v>0.03</v>
      </c>
      <c r="E23" s="38">
        <v>-0.04</v>
      </c>
      <c r="F23" s="38">
        <v>7.0000000000000007E-2</v>
      </c>
      <c r="G23" s="38">
        <v>0.01</v>
      </c>
      <c r="H23" s="38">
        <v>0.06</v>
      </c>
      <c r="I23" s="38">
        <v>-0.03</v>
      </c>
      <c r="J23" s="39">
        <v>-0.02</v>
      </c>
      <c r="K23" s="36">
        <v>1788676.2145746446</v>
      </c>
      <c r="L23" s="36">
        <v>1788676.2145746446</v>
      </c>
      <c r="M23" s="36">
        <v>1868207.9524298105</v>
      </c>
      <c r="N23" s="36">
        <v>1881179.7664096302</v>
      </c>
    </row>
    <row r="24" spans="1:14">
      <c r="A24" s="37">
        <v>23</v>
      </c>
      <c r="B24" s="38">
        <v>0.05</v>
      </c>
      <c r="C24" s="38">
        <v>-0.01</v>
      </c>
      <c r="D24" s="38">
        <v>0.04</v>
      </c>
      <c r="E24" s="38">
        <v>0.03</v>
      </c>
      <c r="F24" s="38">
        <v>-0.01</v>
      </c>
      <c r="G24" s="38">
        <v>0.03</v>
      </c>
      <c r="H24" s="38">
        <v>7.0000000000000007E-2</v>
      </c>
      <c r="I24" s="38">
        <v>0.02</v>
      </c>
      <c r="J24" s="39">
        <v>0.03</v>
      </c>
      <c r="K24" s="36">
        <v>1947340.1250827538</v>
      </c>
      <c r="L24" s="36">
        <v>1947340.1250827538</v>
      </c>
      <c r="M24" s="36">
        <v>2027936.6532401345</v>
      </c>
      <c r="N24" s="36">
        <v>1947968.1457779803</v>
      </c>
    </row>
    <row r="25" spans="1:14">
      <c r="A25" s="37">
        <v>24</v>
      </c>
      <c r="B25" s="38">
        <v>-0.01</v>
      </c>
      <c r="C25" s="38">
        <v>0.1</v>
      </c>
      <c r="D25" s="38">
        <v>0.03</v>
      </c>
      <c r="E25" s="38">
        <v>0.01</v>
      </c>
      <c r="F25" s="38">
        <v>0.04</v>
      </c>
      <c r="G25" s="38">
        <v>-0.05</v>
      </c>
      <c r="H25" s="38">
        <v>0.06</v>
      </c>
      <c r="I25" s="38">
        <v>0.01</v>
      </c>
      <c r="J25" s="39">
        <v>-0.03</v>
      </c>
      <c r="K25" s="36">
        <v>1802806.746497361</v>
      </c>
      <c r="L25" s="36">
        <v>1802806.746497361</v>
      </c>
      <c r="M25" s="36">
        <v>1878472.688093455</v>
      </c>
      <c r="N25" s="36">
        <v>1825890.1441239205</v>
      </c>
    </row>
    <row r="26" spans="1:14">
      <c r="A26" s="37">
        <v>25</v>
      </c>
      <c r="B26" s="38">
        <v>0.04</v>
      </c>
      <c r="C26" s="38">
        <v>-0.04</v>
      </c>
      <c r="D26" s="38">
        <v>0.01</v>
      </c>
      <c r="E26" s="38">
        <v>0.06</v>
      </c>
      <c r="F26" s="38">
        <v>0.02</v>
      </c>
      <c r="G26" s="38">
        <v>0.03</v>
      </c>
      <c r="H26" s="38">
        <v>0.05</v>
      </c>
      <c r="I26" s="38">
        <v>7.0000000000000007E-2</v>
      </c>
      <c r="J26" s="39">
        <v>0.02</v>
      </c>
      <c r="K26" s="36">
        <v>1784972.1348986365</v>
      </c>
      <c r="L26" s="36">
        <v>1784972.1348986365</v>
      </c>
      <c r="M26" s="36">
        <v>1860250.6239850526</v>
      </c>
      <c r="N26" s="36">
        <v>1744252.9953570399</v>
      </c>
    </row>
    <row r="27" spans="1:14">
      <c r="A27" s="37">
        <v>26</v>
      </c>
      <c r="B27" s="38">
        <v>0.02</v>
      </c>
      <c r="C27" s="38">
        <v>-7.0000000000000007E-2</v>
      </c>
      <c r="D27" s="38">
        <v>0.04</v>
      </c>
      <c r="E27" s="38">
        <v>-0.06</v>
      </c>
      <c r="F27" s="38">
        <v>0.05</v>
      </c>
      <c r="G27" s="38">
        <v>0.01</v>
      </c>
      <c r="H27" s="38">
        <v>0.05</v>
      </c>
      <c r="I27" s="38">
        <v>0.06</v>
      </c>
      <c r="J27" s="39">
        <v>0.05</v>
      </c>
      <c r="K27" s="36">
        <v>1889558.5854451787</v>
      </c>
      <c r="L27" s="36">
        <v>1889558.5854451787</v>
      </c>
      <c r="M27" s="36">
        <v>1971100.880036355</v>
      </c>
      <c r="N27" s="36">
        <v>2009212.7402815204</v>
      </c>
    </row>
    <row r="28" spans="1:14">
      <c r="A28" s="37">
        <v>27</v>
      </c>
      <c r="B28" s="38">
        <v>0.06</v>
      </c>
      <c r="C28" s="38">
        <v>0.03</v>
      </c>
      <c r="D28" s="38">
        <v>0.03</v>
      </c>
      <c r="E28" s="38">
        <v>7.0000000000000007E-2</v>
      </c>
      <c r="F28" s="38">
        <v>-0.01</v>
      </c>
      <c r="G28" s="38">
        <v>0.03</v>
      </c>
      <c r="H28" s="38">
        <v>0.01</v>
      </c>
      <c r="I28" s="38">
        <v>0.03</v>
      </c>
      <c r="J28" s="39">
        <v>-0.02</v>
      </c>
      <c r="K28" s="36">
        <v>1889790.7786448963</v>
      </c>
      <c r="L28" s="36">
        <v>1889790.7786448963</v>
      </c>
      <c r="M28" s="36">
        <v>1968074.2628274886</v>
      </c>
      <c r="N28" s="36">
        <v>1836642.9802622003</v>
      </c>
    </row>
    <row r="29" spans="1:14">
      <c r="A29" s="37">
        <v>28</v>
      </c>
      <c r="B29" s="38">
        <v>7.0000000000000007E-2</v>
      </c>
      <c r="C29" s="38">
        <v>-0.05</v>
      </c>
      <c r="D29" s="38">
        <v>-0.01</v>
      </c>
      <c r="E29" s="38">
        <v>-0.06</v>
      </c>
      <c r="F29" s="38">
        <v>0.02</v>
      </c>
      <c r="G29" s="38">
        <v>-0.04</v>
      </c>
      <c r="H29" s="38">
        <v>-0.02</v>
      </c>
      <c r="I29" s="38">
        <v>-0.01</v>
      </c>
      <c r="J29" s="39">
        <v>0.04</v>
      </c>
      <c r="K29" s="36">
        <v>1672920.1625467534</v>
      </c>
      <c r="L29" s="36">
        <v>1672920.1625467534</v>
      </c>
      <c r="M29" s="36">
        <v>1744383.4052483491</v>
      </c>
      <c r="N29" s="36">
        <v>1788046.5591140701</v>
      </c>
    </row>
    <row r="30" spans="1:14">
      <c r="A30" s="37">
        <v>29</v>
      </c>
      <c r="B30" s="38">
        <v>0.08</v>
      </c>
      <c r="C30" s="38">
        <v>0.03</v>
      </c>
      <c r="D30" s="38">
        <v>0.04</v>
      </c>
      <c r="E30" s="38">
        <v>0.02</v>
      </c>
      <c r="F30" s="38">
        <v>7.0000000000000007E-2</v>
      </c>
      <c r="G30" s="38">
        <v>-0.01</v>
      </c>
      <c r="H30" s="38">
        <v>-0.01</v>
      </c>
      <c r="I30" s="38">
        <v>0.06</v>
      </c>
      <c r="J30" s="39">
        <v>0.02</v>
      </c>
      <c r="K30" s="36">
        <v>1918458.7457823437</v>
      </c>
      <c r="L30" s="36">
        <v>1918458.7457823437</v>
      </c>
      <c r="M30" s="36">
        <v>1997282.1771446206</v>
      </c>
      <c r="N30" s="36">
        <v>1930429.7554815002</v>
      </c>
    </row>
    <row r="31" spans="1:14">
      <c r="A31" s="37">
        <v>30</v>
      </c>
      <c r="B31" s="38">
        <v>0.02</v>
      </c>
      <c r="C31" s="38">
        <v>0.03</v>
      </c>
      <c r="D31" s="38">
        <v>0.04</v>
      </c>
      <c r="E31" s="38">
        <v>-0.01</v>
      </c>
      <c r="F31" s="38">
        <v>-0.02</v>
      </c>
      <c r="G31" s="38">
        <v>-0.06</v>
      </c>
      <c r="H31" s="38">
        <v>0.04</v>
      </c>
      <c r="I31" s="38">
        <v>-0.02</v>
      </c>
      <c r="J31" s="39">
        <v>-0.01</v>
      </c>
      <c r="K31" s="36">
        <v>1957877.3494793882</v>
      </c>
      <c r="L31" s="36">
        <v>1957877.3494793882</v>
      </c>
      <c r="M31" s="36">
        <v>2035138.1010308908</v>
      </c>
      <c r="N31" s="36">
        <v>2007600.5720542001</v>
      </c>
    </row>
    <row r="32" spans="1:14">
      <c r="A32" s="37">
        <v>31</v>
      </c>
      <c r="B32" s="38">
        <v>0.05</v>
      </c>
      <c r="C32" s="38">
        <v>0.03</v>
      </c>
      <c r="D32" s="38">
        <v>0.06</v>
      </c>
      <c r="E32" s="38">
        <v>-0.01</v>
      </c>
      <c r="F32" s="38">
        <v>-0.02</v>
      </c>
      <c r="G32" s="38">
        <v>0.02</v>
      </c>
      <c r="H32" s="38">
        <v>-0.01</v>
      </c>
      <c r="I32" s="38">
        <v>7.0000000000000007E-2</v>
      </c>
      <c r="J32" s="39">
        <v>0.02</v>
      </c>
      <c r="K32" s="36">
        <v>2034233.5673216297</v>
      </c>
      <c r="L32" s="36">
        <v>2034233.5673216297</v>
      </c>
      <c r="M32" s="36">
        <v>2118516.6318877339</v>
      </c>
      <c r="N32" s="36">
        <v>2088574.6593248299</v>
      </c>
    </row>
    <row r="33" spans="1:14">
      <c r="A33" s="37">
        <v>32</v>
      </c>
      <c r="B33" s="38">
        <v>7.0000000000000007E-2</v>
      </c>
      <c r="C33" s="38">
        <v>-0.03</v>
      </c>
      <c r="D33" s="38">
        <v>0.05</v>
      </c>
      <c r="E33" s="38">
        <v>0.06</v>
      </c>
      <c r="F33" s="38">
        <v>0.05</v>
      </c>
      <c r="G33" s="38">
        <v>0.01</v>
      </c>
      <c r="H33" s="38">
        <v>0.02</v>
      </c>
      <c r="I33" s="38">
        <v>0.06</v>
      </c>
      <c r="J33" s="39">
        <v>-0.03</v>
      </c>
      <c r="K33" s="36">
        <v>2032153.883726751</v>
      </c>
      <c r="L33" s="36">
        <v>2032153.883726751</v>
      </c>
      <c r="M33" s="36">
        <v>2112898.5755142435</v>
      </c>
      <c r="N33" s="36">
        <v>1992304.7636357802</v>
      </c>
    </row>
    <row r="34" spans="1:14">
      <c r="A34" s="37">
        <v>33</v>
      </c>
      <c r="B34" s="38">
        <v>-0.01</v>
      </c>
      <c r="C34" s="38">
        <v>0.1</v>
      </c>
      <c r="D34" s="38">
        <v>0.04</v>
      </c>
      <c r="E34" s="38">
        <v>0.01</v>
      </c>
      <c r="F34" s="38">
        <v>-0.03</v>
      </c>
      <c r="G34" s="38">
        <v>0.04</v>
      </c>
      <c r="H34" s="38">
        <v>0.05</v>
      </c>
      <c r="I34" s="38">
        <v>0.02</v>
      </c>
      <c r="J34" s="39">
        <v>-0.03</v>
      </c>
      <c r="K34" s="36">
        <v>1827855.4320349479</v>
      </c>
      <c r="L34" s="36">
        <v>1827855.4320349479</v>
      </c>
      <c r="M34" s="36">
        <v>1909462.7985005996</v>
      </c>
      <c r="N34" s="36">
        <v>1855718.2819802603</v>
      </c>
    </row>
    <row r="35" spans="1:14">
      <c r="A35" s="37">
        <v>34</v>
      </c>
      <c r="B35" s="38">
        <v>7.0000000000000007E-2</v>
      </c>
      <c r="C35" s="38">
        <v>0.06</v>
      </c>
      <c r="D35" s="38">
        <v>0.05</v>
      </c>
      <c r="E35" s="38">
        <v>0.03</v>
      </c>
      <c r="F35" s="38">
        <v>-0.01</v>
      </c>
      <c r="G35" s="38">
        <v>7.0000000000000007E-2</v>
      </c>
      <c r="H35" s="38">
        <v>0.04</v>
      </c>
      <c r="I35" s="38">
        <v>0.06</v>
      </c>
      <c r="J35" s="39">
        <v>0.06</v>
      </c>
      <c r="K35" s="36">
        <v>1935625.8788803872</v>
      </c>
      <c r="L35" s="36">
        <v>1935625.8788803872</v>
      </c>
      <c r="M35" s="36">
        <v>2020022.9631770696</v>
      </c>
      <c r="N35" s="36">
        <v>1938865.7914708001</v>
      </c>
    </row>
    <row r="36" spans="1:14">
      <c r="A36" s="37">
        <v>35</v>
      </c>
      <c r="B36" s="38">
        <v>0.05</v>
      </c>
      <c r="C36" s="38">
        <v>0.01</v>
      </c>
      <c r="D36" s="38">
        <v>0.02</v>
      </c>
      <c r="E36" s="38">
        <v>0.04</v>
      </c>
      <c r="F36" s="38">
        <v>0.02</v>
      </c>
      <c r="G36" s="38">
        <v>-0.05</v>
      </c>
      <c r="H36" s="38">
        <v>-0.01</v>
      </c>
      <c r="I36" s="38">
        <v>0.06</v>
      </c>
      <c r="J36" s="39">
        <v>-0.02</v>
      </c>
      <c r="K36" s="36">
        <v>1870251.2361460878</v>
      </c>
      <c r="L36" s="36">
        <v>1870251.2361460878</v>
      </c>
      <c r="M36" s="36">
        <v>1943715.9117121138</v>
      </c>
      <c r="N36" s="36">
        <v>1852916.8813089302</v>
      </c>
    </row>
    <row r="37" spans="1:14">
      <c r="A37" s="37">
        <v>36</v>
      </c>
      <c r="B37" s="38">
        <v>0.04</v>
      </c>
      <c r="C37" s="38">
        <v>-0.02</v>
      </c>
      <c r="D37" s="38">
        <v>0.05</v>
      </c>
      <c r="E37" s="38">
        <v>7.0000000000000007E-2</v>
      </c>
      <c r="F37" s="38">
        <v>0.04</v>
      </c>
      <c r="G37" s="38">
        <v>-0.06</v>
      </c>
      <c r="H37" s="38">
        <v>7.0000000000000007E-2</v>
      </c>
      <c r="I37" s="38">
        <v>0.01</v>
      </c>
      <c r="J37" s="39">
        <v>-0.02</v>
      </c>
      <c r="K37" s="36">
        <v>2077844.1723582251</v>
      </c>
      <c r="L37" s="36">
        <v>2077844.1723582251</v>
      </c>
      <c r="M37" s="36">
        <v>2155189.9917249084</v>
      </c>
      <c r="N37" s="36">
        <v>2021408.0723647003</v>
      </c>
    </row>
    <row r="38" spans="1:14">
      <c r="A38" s="37">
        <v>37</v>
      </c>
      <c r="B38" s="38">
        <v>0.03</v>
      </c>
      <c r="C38" s="38">
        <v>0.03</v>
      </c>
      <c r="D38" s="38">
        <v>0.03</v>
      </c>
      <c r="E38" s="38">
        <v>-0.02</v>
      </c>
      <c r="F38" s="38">
        <v>7.0000000000000007E-2</v>
      </c>
      <c r="G38" s="38">
        <v>0.01</v>
      </c>
      <c r="H38" s="38">
        <v>0.05</v>
      </c>
      <c r="I38" s="38">
        <v>0.05</v>
      </c>
      <c r="J38" s="39">
        <v>0.05</v>
      </c>
      <c r="K38" s="36">
        <v>1788286.9620791117</v>
      </c>
      <c r="L38" s="36">
        <v>1788286.9620791117</v>
      </c>
      <c r="M38" s="36">
        <v>1867273.5820299969</v>
      </c>
      <c r="N38" s="36">
        <v>1854004.9675083405</v>
      </c>
    </row>
    <row r="39" spans="1:14">
      <c r="A39" s="37">
        <v>38</v>
      </c>
      <c r="B39" s="38">
        <v>0.06</v>
      </c>
      <c r="C39" s="38">
        <v>0.02</v>
      </c>
      <c r="D39" s="38">
        <v>-0.02</v>
      </c>
      <c r="E39" s="38">
        <v>0.04</v>
      </c>
      <c r="F39" s="38">
        <v>0.01</v>
      </c>
      <c r="G39" s="38">
        <v>0.08</v>
      </c>
      <c r="H39" s="38">
        <v>7.0000000000000007E-2</v>
      </c>
      <c r="I39" s="38">
        <v>0.04</v>
      </c>
      <c r="J39" s="39">
        <v>-0.02</v>
      </c>
      <c r="K39" s="36">
        <v>1534703.089816337</v>
      </c>
      <c r="L39" s="36">
        <v>1534703.089816337</v>
      </c>
      <c r="M39" s="36">
        <v>1608727.225614182</v>
      </c>
      <c r="N39" s="36">
        <v>1522216.5603161003</v>
      </c>
    </row>
    <row r="40" spans="1:14">
      <c r="A40" s="37">
        <v>39</v>
      </c>
      <c r="B40" s="38">
        <v>-0.01</v>
      </c>
      <c r="C40" s="38">
        <v>0.06</v>
      </c>
      <c r="D40" s="38">
        <v>0.04</v>
      </c>
      <c r="E40" s="38">
        <v>0.01</v>
      </c>
      <c r="F40" s="38">
        <v>-0.02</v>
      </c>
      <c r="G40" s="38">
        <v>-0.04</v>
      </c>
      <c r="H40" s="38">
        <v>0.04</v>
      </c>
      <c r="I40" s="38">
        <v>0.01</v>
      </c>
      <c r="J40" s="39">
        <v>0.03</v>
      </c>
      <c r="K40" s="36">
        <v>1922170.2085815261</v>
      </c>
      <c r="L40" s="36">
        <v>1922170.2085815261</v>
      </c>
      <c r="M40" s="36">
        <v>1999814.9963179398</v>
      </c>
      <c r="N40" s="36">
        <v>1946070.4797976005</v>
      </c>
    </row>
    <row r="41" spans="1:14">
      <c r="A41" s="37">
        <v>40</v>
      </c>
      <c r="B41" s="38">
        <v>0.05</v>
      </c>
      <c r="C41" s="38">
        <v>0.04</v>
      </c>
      <c r="D41" s="38">
        <v>0.03</v>
      </c>
      <c r="E41" s="38">
        <v>0.05</v>
      </c>
      <c r="F41" s="38">
        <v>0.02</v>
      </c>
      <c r="G41" s="38">
        <v>-0.02</v>
      </c>
      <c r="H41" s="38">
        <v>0.01</v>
      </c>
      <c r="I41" s="38">
        <v>0.06</v>
      </c>
      <c r="J41" s="39">
        <v>0.06</v>
      </c>
      <c r="K41" s="36">
        <v>1893510.930541696</v>
      </c>
      <c r="L41" s="36">
        <v>1893510.930541696</v>
      </c>
      <c r="M41" s="36">
        <v>1969608.5789050914</v>
      </c>
      <c r="N41" s="36">
        <v>1864529.6109359104</v>
      </c>
    </row>
    <row r="42" spans="1:14">
      <c r="A42" s="37">
        <v>41</v>
      </c>
      <c r="B42" s="38">
        <v>-0.02</v>
      </c>
      <c r="C42" s="38">
        <v>-0.06</v>
      </c>
      <c r="D42" s="38">
        <v>0.06</v>
      </c>
      <c r="E42" s="38">
        <v>-0.05</v>
      </c>
      <c r="F42" s="38">
        <v>-7.0000000000000007E-2</v>
      </c>
      <c r="G42" s="38">
        <v>-0.02</v>
      </c>
      <c r="H42" s="38">
        <v>0.03</v>
      </c>
      <c r="I42" s="38">
        <v>0.06</v>
      </c>
      <c r="J42" s="39">
        <v>-0.01</v>
      </c>
      <c r="K42" s="36">
        <v>2086443.9479883583</v>
      </c>
      <c r="L42" s="36">
        <v>2086443.9479883583</v>
      </c>
      <c r="M42" s="36">
        <v>2169738.2672646735</v>
      </c>
      <c r="N42" s="36">
        <v>2192285.0109439301</v>
      </c>
    </row>
    <row r="43" spans="1:14">
      <c r="A43" s="37">
        <v>42</v>
      </c>
      <c r="B43" s="38">
        <v>0.01</v>
      </c>
      <c r="C43" s="38">
        <v>-0.01</v>
      </c>
      <c r="D43" s="38">
        <v>7.0000000000000007E-2</v>
      </c>
      <c r="E43" s="38">
        <v>0.06</v>
      </c>
      <c r="F43" s="38">
        <v>0.05</v>
      </c>
      <c r="G43" s="38">
        <v>0.04</v>
      </c>
      <c r="H43" s="38">
        <v>-0.04</v>
      </c>
      <c r="I43" s="38">
        <v>0.02</v>
      </c>
      <c r="J43" s="39">
        <v>-0.03</v>
      </c>
      <c r="K43" s="36">
        <v>2091959.2082473733</v>
      </c>
      <c r="L43" s="36">
        <v>2091959.2082473733</v>
      </c>
      <c r="M43" s="36">
        <v>2177678.4622179056</v>
      </c>
      <c r="N43" s="36">
        <v>2054625.5497156302</v>
      </c>
    </row>
    <row r="44" spans="1:14">
      <c r="A44" s="37">
        <v>43</v>
      </c>
      <c r="B44" s="38">
        <v>0.03</v>
      </c>
      <c r="C44" s="38">
        <v>0.05</v>
      </c>
      <c r="D44" s="38">
        <v>7.0000000000000007E-2</v>
      </c>
      <c r="E44" s="38">
        <v>0.06</v>
      </c>
      <c r="F44" s="38">
        <v>0.01</v>
      </c>
      <c r="G44" s="38">
        <v>-0.06</v>
      </c>
      <c r="H44" s="38">
        <v>0.05</v>
      </c>
      <c r="I44" s="38">
        <v>-0.01</v>
      </c>
      <c r="J44" s="39">
        <v>0.04</v>
      </c>
      <c r="K44" s="36">
        <v>2166652.1391944219</v>
      </c>
      <c r="L44" s="36">
        <v>2166652.1391944219</v>
      </c>
      <c r="M44" s="36">
        <v>2247535.6519926861</v>
      </c>
      <c r="N44" s="36">
        <v>2124482.7394904108</v>
      </c>
    </row>
    <row r="45" spans="1:14">
      <c r="A45" s="37">
        <v>44</v>
      </c>
      <c r="B45" s="38">
        <v>0.02</v>
      </c>
      <c r="C45" s="38">
        <v>0.06</v>
      </c>
      <c r="D45" s="38">
        <v>0.08</v>
      </c>
      <c r="E45" s="38">
        <v>7.0000000000000007E-2</v>
      </c>
      <c r="F45" s="38">
        <v>0.02</v>
      </c>
      <c r="G45" s="38">
        <v>7.0000000000000007E-2</v>
      </c>
      <c r="H45" s="38">
        <v>-0.01</v>
      </c>
      <c r="I45" s="38">
        <v>0.05</v>
      </c>
      <c r="J45" s="39">
        <v>0.05</v>
      </c>
      <c r="K45" s="36">
        <v>2111237.8177606752</v>
      </c>
      <c r="L45" s="36">
        <v>2111237.8177606752</v>
      </c>
      <c r="M45" s="36">
        <v>2200097.5313102491</v>
      </c>
      <c r="N45" s="36">
        <v>2062585.2178263003</v>
      </c>
    </row>
    <row r="46" spans="1:14">
      <c r="A46" s="37">
        <v>45</v>
      </c>
      <c r="B46" s="38">
        <v>0.04</v>
      </c>
      <c r="C46" s="38">
        <v>0.06</v>
      </c>
      <c r="D46" s="38">
        <v>0.06</v>
      </c>
      <c r="E46" s="38">
        <v>0.04</v>
      </c>
      <c r="F46" s="38">
        <v>0.04</v>
      </c>
      <c r="G46" s="38">
        <v>-0.04</v>
      </c>
      <c r="H46" s="38">
        <v>7.0000000000000007E-2</v>
      </c>
      <c r="I46" s="38">
        <v>0.01</v>
      </c>
      <c r="J46" s="39">
        <v>0.05</v>
      </c>
      <c r="K46" s="36">
        <v>2055237.1740565086</v>
      </c>
      <c r="L46" s="36">
        <v>2055237.1740565086</v>
      </c>
      <c r="M46" s="36">
        <v>2135612.3672479</v>
      </c>
      <c r="N46" s="36">
        <v>2040111.2198824999</v>
      </c>
    </row>
    <row r="47" spans="1:14">
      <c r="A47" s="37">
        <v>46</v>
      </c>
      <c r="B47" s="38">
        <v>-0.02</v>
      </c>
      <c r="C47" s="38">
        <v>0.02</v>
      </c>
      <c r="D47" s="38">
        <v>0.01</v>
      </c>
      <c r="E47" s="38">
        <v>0.03</v>
      </c>
      <c r="F47" s="38">
        <v>-0.01</v>
      </c>
      <c r="G47" s="38">
        <v>0.06</v>
      </c>
      <c r="H47" s="38">
        <v>0.06</v>
      </c>
      <c r="I47" s="38">
        <v>-0.02</v>
      </c>
      <c r="J47" s="39">
        <v>0.06</v>
      </c>
      <c r="K47" s="36">
        <v>1690751.2925969495</v>
      </c>
      <c r="L47" s="36">
        <v>1690751.2925969495</v>
      </c>
      <c r="M47" s="36">
        <v>1768169.8232790187</v>
      </c>
      <c r="N47" s="36">
        <v>1691608.8348231995</v>
      </c>
    </row>
    <row r="48" spans="1:14">
      <c r="A48" s="37">
        <v>47</v>
      </c>
      <c r="B48" s="38">
        <v>7.0000000000000007E-2</v>
      </c>
      <c r="C48" s="38">
        <v>-0.01</v>
      </c>
      <c r="D48" s="38">
        <v>0.01</v>
      </c>
      <c r="E48" s="38">
        <v>0.08</v>
      </c>
      <c r="F48" s="38">
        <v>0.01</v>
      </c>
      <c r="G48" s="38">
        <v>0.03</v>
      </c>
      <c r="H48" s="38">
        <v>-0.01</v>
      </c>
      <c r="I48" s="38">
        <v>7.0000000000000007E-2</v>
      </c>
      <c r="J48" s="39">
        <v>7.0000000000000007E-2</v>
      </c>
      <c r="K48" s="36">
        <v>1801914.1660838514</v>
      </c>
      <c r="L48" s="36">
        <v>1801914.1660838514</v>
      </c>
      <c r="M48" s="36">
        <v>1876773.6407460321</v>
      </c>
      <c r="N48" s="36">
        <v>1734371.9667492998</v>
      </c>
    </row>
    <row r="49" spans="1:14">
      <c r="A49" s="37">
        <v>48</v>
      </c>
      <c r="B49" s="38">
        <v>-0.02</v>
      </c>
      <c r="C49" s="38">
        <v>-0.05</v>
      </c>
      <c r="D49" s="38">
        <v>0.03</v>
      </c>
      <c r="E49" s="38">
        <v>-0.06</v>
      </c>
      <c r="F49" s="38">
        <v>0.03</v>
      </c>
      <c r="G49" s="38">
        <v>-0.04</v>
      </c>
      <c r="H49" s="38">
        <v>-0.01</v>
      </c>
      <c r="I49" s="38">
        <v>0.04</v>
      </c>
      <c r="J49" s="39">
        <v>-0.01</v>
      </c>
      <c r="K49" s="36">
        <v>1851837.3911306213</v>
      </c>
      <c r="L49" s="36">
        <v>1851837.3911306213</v>
      </c>
      <c r="M49" s="36">
        <v>1929491.2644440499</v>
      </c>
      <c r="N49" s="36">
        <v>1968765.0972400205</v>
      </c>
    </row>
    <row r="50" spans="1:14">
      <c r="A50" s="37">
        <v>49</v>
      </c>
      <c r="B50" s="38">
        <v>0.02</v>
      </c>
      <c r="C50" s="38">
        <v>7.0000000000000007E-2</v>
      </c>
      <c r="D50" s="38">
        <v>-0.01</v>
      </c>
      <c r="E50" s="38">
        <v>0.05</v>
      </c>
      <c r="F50" s="38">
        <v>-0.01</v>
      </c>
      <c r="G50" s="38">
        <v>0.04</v>
      </c>
      <c r="H50" s="38">
        <v>0.02</v>
      </c>
      <c r="I50" s="38">
        <v>0.04</v>
      </c>
      <c r="J50" s="39">
        <v>0.03</v>
      </c>
      <c r="K50" s="36">
        <v>1591692.4637741141</v>
      </c>
      <c r="L50" s="36">
        <v>1591692.4637741141</v>
      </c>
      <c r="M50" s="36">
        <v>1664678.5066088603</v>
      </c>
      <c r="N50" s="36">
        <v>1563988.8597094303</v>
      </c>
    </row>
    <row r="51" spans="1:14">
      <c r="A51" s="37">
        <v>50</v>
      </c>
      <c r="B51" s="38">
        <v>0.04</v>
      </c>
      <c r="C51" s="38">
        <v>-0.03</v>
      </c>
      <c r="D51" s="38">
        <v>0.05</v>
      </c>
      <c r="E51" s="38">
        <v>-0.04</v>
      </c>
      <c r="F51" s="38">
        <v>-0.01</v>
      </c>
      <c r="G51" s="38">
        <v>0.06</v>
      </c>
      <c r="H51" s="38">
        <v>-0.02</v>
      </c>
      <c r="I51" s="38">
        <v>0.06</v>
      </c>
      <c r="J51" s="39">
        <v>0.03</v>
      </c>
      <c r="K51" s="36">
        <v>1943044.2031527231</v>
      </c>
      <c r="L51" s="36">
        <v>1943044.2031527231</v>
      </c>
      <c r="M51" s="36">
        <v>2028422.3602584</v>
      </c>
      <c r="N51" s="36">
        <v>2039043.5374433</v>
      </c>
    </row>
    <row r="52" spans="1:14">
      <c r="A52" s="37">
        <v>51</v>
      </c>
      <c r="B52" s="38">
        <v>0.03</v>
      </c>
      <c r="C52" s="38">
        <v>0.06</v>
      </c>
      <c r="D52" s="38">
        <v>-0.02</v>
      </c>
      <c r="E52" s="38">
        <v>-0.03</v>
      </c>
      <c r="F52" s="38">
        <v>7.0000000000000007E-2</v>
      </c>
      <c r="G52" s="38">
        <v>-0.02</v>
      </c>
      <c r="H52" s="38">
        <v>-0.02</v>
      </c>
      <c r="I52" s="38">
        <v>0.05</v>
      </c>
      <c r="J52" s="39">
        <v>7.0000000000000007E-2</v>
      </c>
      <c r="K52" s="36">
        <v>1502426.5053326203</v>
      </c>
      <c r="L52" s="36">
        <v>1502426.5053326203</v>
      </c>
      <c r="M52" s="36">
        <v>1572606.0806027609</v>
      </c>
      <c r="N52" s="36">
        <v>1577876.0122661004</v>
      </c>
    </row>
    <row r="53" spans="1:14">
      <c r="A53" s="37">
        <v>52</v>
      </c>
      <c r="B53" s="38">
        <v>0.06</v>
      </c>
      <c r="C53" s="38">
        <v>0.06</v>
      </c>
      <c r="D53" s="38">
        <v>-0.02</v>
      </c>
      <c r="E53" s="38">
        <v>-0.04</v>
      </c>
      <c r="F53" s="38">
        <v>-0.02</v>
      </c>
      <c r="G53" s="38">
        <v>0.05</v>
      </c>
      <c r="H53" s="38">
        <v>-0.02</v>
      </c>
      <c r="I53" s="38">
        <v>0.03</v>
      </c>
      <c r="J53" s="39">
        <v>0.05</v>
      </c>
      <c r="K53" s="36">
        <v>1501719.8809168669</v>
      </c>
      <c r="L53" s="36">
        <v>1501719.8809168669</v>
      </c>
      <c r="M53" s="36">
        <v>1575671.0302709306</v>
      </c>
      <c r="N53" s="36">
        <v>1594066.9101810502</v>
      </c>
    </row>
    <row r="54" spans="1:14">
      <c r="A54" s="37">
        <v>53</v>
      </c>
      <c r="B54" s="38">
        <v>0.01</v>
      </c>
      <c r="C54" s="38">
        <v>0.04</v>
      </c>
      <c r="D54" s="38">
        <v>0.04</v>
      </c>
      <c r="E54" s="38">
        <v>0.03</v>
      </c>
      <c r="F54" s="38">
        <v>-0.02</v>
      </c>
      <c r="G54" s="38">
        <v>0.01</v>
      </c>
      <c r="H54" s="38">
        <v>0.02</v>
      </c>
      <c r="I54" s="38">
        <v>0.01</v>
      </c>
      <c r="J54" s="39">
        <v>-0.02</v>
      </c>
      <c r="K54" s="36">
        <v>1916949.0276512434</v>
      </c>
      <c r="L54" s="36">
        <v>1916949.0276512434</v>
      </c>
      <c r="M54" s="36">
        <v>1996594.3953030049</v>
      </c>
      <c r="N54" s="36">
        <v>1916625.8878408505</v>
      </c>
    </row>
    <row r="55" spans="1:14">
      <c r="A55" s="37">
        <v>54</v>
      </c>
      <c r="B55" s="38">
        <v>0.04</v>
      </c>
      <c r="C55" s="38">
        <v>-0.02</v>
      </c>
      <c r="D55" s="38">
        <v>0.09</v>
      </c>
      <c r="E55" s="38">
        <v>-0.03</v>
      </c>
      <c r="F55" s="38">
        <v>0.01</v>
      </c>
      <c r="G55" s="38">
        <v>0.01</v>
      </c>
      <c r="H55" s="38">
        <v>7.0000000000000007E-2</v>
      </c>
      <c r="I55" s="38">
        <v>0.06</v>
      </c>
      <c r="J55" s="39">
        <v>7.0000000000000007E-2</v>
      </c>
      <c r="K55" s="36">
        <v>2235483.6930022892</v>
      </c>
      <c r="L55" s="36">
        <v>2235483.6930022892</v>
      </c>
      <c r="M55" s="36">
        <v>2324975.5836803783</v>
      </c>
      <c r="N55" s="36">
        <v>2317440.7190610506</v>
      </c>
    </row>
    <row r="56" spans="1:14">
      <c r="A56" s="37">
        <v>55</v>
      </c>
      <c r="B56" s="38">
        <v>0.06</v>
      </c>
      <c r="C56" s="38">
        <v>-0.01</v>
      </c>
      <c r="D56" s="38">
        <v>-0.01</v>
      </c>
      <c r="E56" s="38">
        <v>0.02</v>
      </c>
      <c r="F56" s="38">
        <v>0.05</v>
      </c>
      <c r="G56" s="38">
        <v>7.0000000000000007E-2</v>
      </c>
      <c r="H56" s="38">
        <v>0.05</v>
      </c>
      <c r="I56" s="38">
        <v>0.06</v>
      </c>
      <c r="J56" s="39">
        <v>-0.01</v>
      </c>
      <c r="K56" s="36">
        <v>1583182.6639215357</v>
      </c>
      <c r="L56" s="36">
        <v>1583182.6639215357</v>
      </c>
      <c r="M56" s="36">
        <v>1658458.7875571344</v>
      </c>
      <c r="N56" s="36">
        <v>1597157.6595145701</v>
      </c>
    </row>
    <row r="57" spans="1:14">
      <c r="A57" s="37">
        <v>56</v>
      </c>
      <c r="B57" s="38">
        <v>7.0000000000000007E-2</v>
      </c>
      <c r="C57" s="38">
        <v>0.09</v>
      </c>
      <c r="D57" s="38">
        <v>7.0000000000000007E-2</v>
      </c>
      <c r="E57" s="38">
        <v>0.01</v>
      </c>
      <c r="F57" s="38">
        <v>7.0000000000000007E-2</v>
      </c>
      <c r="G57" s="38">
        <v>0.05</v>
      </c>
      <c r="H57" s="38">
        <v>0.03</v>
      </c>
      <c r="I57" s="38">
        <v>0.06</v>
      </c>
      <c r="J57" s="39">
        <v>0.03</v>
      </c>
      <c r="K57" s="36">
        <v>1997973.5852609244</v>
      </c>
      <c r="L57" s="36">
        <v>1997973.5852609244</v>
      </c>
      <c r="M57" s="36">
        <v>2085131.8191444171</v>
      </c>
      <c r="N57" s="36">
        <v>2027739.5377561504</v>
      </c>
    </row>
    <row r="58" spans="1:14">
      <c r="A58" s="37">
        <v>57</v>
      </c>
      <c r="B58" s="38">
        <v>0.03</v>
      </c>
      <c r="C58" s="38">
        <v>0.09</v>
      </c>
      <c r="D58" s="38">
        <v>0.02</v>
      </c>
      <c r="E58" s="38">
        <v>-0.04</v>
      </c>
      <c r="F58" s="38">
        <v>0.02</v>
      </c>
      <c r="G58" s="38">
        <v>7.0000000000000007E-2</v>
      </c>
      <c r="H58" s="38">
        <v>7.0000000000000007E-2</v>
      </c>
      <c r="I58" s="38">
        <v>-0.01</v>
      </c>
      <c r="J58" s="39">
        <v>-0.01</v>
      </c>
      <c r="K58" s="36">
        <v>1644703.3607778396</v>
      </c>
      <c r="L58" s="36">
        <v>1644703.3607778396</v>
      </c>
      <c r="M58" s="36">
        <v>1725829.0404579325</v>
      </c>
      <c r="N58" s="36">
        <v>1739936.5552629502</v>
      </c>
    </row>
    <row r="59" spans="1:14">
      <c r="A59" s="37">
        <v>58</v>
      </c>
      <c r="B59" s="38">
        <v>-0.02</v>
      </c>
      <c r="C59" s="38">
        <v>0.09</v>
      </c>
      <c r="D59" s="38">
        <v>7.0000000000000007E-2</v>
      </c>
      <c r="E59" s="38">
        <v>0.05</v>
      </c>
      <c r="F59" s="38">
        <v>0.05</v>
      </c>
      <c r="G59" s="38">
        <v>0.03</v>
      </c>
      <c r="H59" s="38">
        <v>0.04</v>
      </c>
      <c r="I59" s="38">
        <v>-0.03</v>
      </c>
      <c r="J59" s="39">
        <v>0.01</v>
      </c>
      <c r="K59" s="36">
        <v>2010322.5569605972</v>
      </c>
      <c r="L59" s="36">
        <v>2010322.5569605972</v>
      </c>
      <c r="M59" s="36">
        <v>2095648.8247775738</v>
      </c>
      <c r="N59" s="36">
        <v>1985760.1193896607</v>
      </c>
    </row>
    <row r="60" spans="1:14">
      <c r="A60" s="37">
        <v>59</v>
      </c>
      <c r="B60" s="38">
        <v>0.04</v>
      </c>
      <c r="C60" s="38">
        <v>0.01</v>
      </c>
      <c r="D60" s="38">
        <v>7.0000000000000007E-2</v>
      </c>
      <c r="E60" s="38">
        <v>-0.03</v>
      </c>
      <c r="F60" s="38">
        <v>0.02</v>
      </c>
      <c r="G60" s="38">
        <v>-0.03</v>
      </c>
      <c r="H60" s="38">
        <v>0.05</v>
      </c>
      <c r="I60" s="38">
        <v>0.02</v>
      </c>
      <c r="J60" s="39">
        <v>-0.02</v>
      </c>
      <c r="K60" s="36">
        <v>2109563.1152701518</v>
      </c>
      <c r="L60" s="36">
        <v>2109563.1152701518</v>
      </c>
      <c r="M60" s="36">
        <v>2193682.6216540332</v>
      </c>
      <c r="N60" s="36">
        <v>2188718.7499683406</v>
      </c>
    </row>
    <row r="61" spans="1:14">
      <c r="A61" s="37">
        <v>60</v>
      </c>
      <c r="B61" s="38">
        <v>-0.02</v>
      </c>
      <c r="C61" s="38">
        <v>0.01</v>
      </c>
      <c r="D61" s="38">
        <v>0.03</v>
      </c>
      <c r="E61" s="38">
        <v>-0.05</v>
      </c>
      <c r="F61" s="38">
        <v>0.03</v>
      </c>
      <c r="G61" s="38">
        <v>0.05</v>
      </c>
      <c r="H61" s="38">
        <v>-0.02</v>
      </c>
      <c r="I61" s="38">
        <v>-0.01</v>
      </c>
      <c r="J61" s="39">
        <v>-0.02</v>
      </c>
      <c r="K61" s="36">
        <v>1745729.4270200711</v>
      </c>
      <c r="L61" s="36">
        <v>1745729.4270200711</v>
      </c>
      <c r="M61" s="36">
        <v>1827577.1145964053</v>
      </c>
      <c r="N61" s="36">
        <v>1853690.2744126804</v>
      </c>
    </row>
    <row r="62" spans="1:14">
      <c r="A62" s="37">
        <v>61</v>
      </c>
      <c r="B62" s="38">
        <v>0.03</v>
      </c>
      <c r="C62" s="38">
        <v>-0.06</v>
      </c>
      <c r="D62" s="38">
        <v>0.02</v>
      </c>
      <c r="E62" s="38">
        <v>-0.02</v>
      </c>
      <c r="F62" s="38">
        <v>7.0000000000000007E-2</v>
      </c>
      <c r="G62" s="38">
        <v>-0.02</v>
      </c>
      <c r="H62" s="38">
        <v>0.04</v>
      </c>
      <c r="I62" s="38">
        <v>7.0000000000000007E-2</v>
      </c>
      <c r="J62" s="39">
        <v>-0.01</v>
      </c>
      <c r="K62" s="36">
        <v>1809244.9251658784</v>
      </c>
      <c r="L62" s="36">
        <v>1809244.9251658784</v>
      </c>
      <c r="M62" s="36">
        <v>1885283.3333409091</v>
      </c>
      <c r="N62" s="36">
        <v>1873150.4196444503</v>
      </c>
    </row>
    <row r="63" spans="1:14">
      <c r="A63" s="37">
        <v>62</v>
      </c>
      <c r="B63" s="38">
        <v>0.04</v>
      </c>
      <c r="C63" s="38">
        <v>-0.05</v>
      </c>
      <c r="D63" s="38">
        <v>0.02</v>
      </c>
      <c r="E63" s="38">
        <v>-0.06</v>
      </c>
      <c r="F63" s="38">
        <v>0.06</v>
      </c>
      <c r="G63" s="38">
        <v>0.01</v>
      </c>
      <c r="H63" s="38">
        <v>0.03</v>
      </c>
      <c r="I63" s="38">
        <v>-0.02</v>
      </c>
      <c r="J63" s="39">
        <v>0.04</v>
      </c>
      <c r="K63" s="36">
        <v>1762458.7084754198</v>
      </c>
      <c r="L63" s="36">
        <v>1762458.7084754198</v>
      </c>
      <c r="M63" s="36">
        <v>1840805.4835477518</v>
      </c>
      <c r="N63" s="36">
        <v>1881215.0171689203</v>
      </c>
    </row>
    <row r="64" spans="1:14">
      <c r="A64" s="37">
        <v>63</v>
      </c>
      <c r="B64" s="38">
        <v>-0.01</v>
      </c>
      <c r="C64" s="38">
        <v>-0.06</v>
      </c>
      <c r="D64" s="38">
        <v>0.05</v>
      </c>
      <c r="E64" s="38">
        <v>0.03</v>
      </c>
      <c r="F64" s="38">
        <v>0.01</v>
      </c>
      <c r="G64" s="38">
        <v>7.0000000000000007E-2</v>
      </c>
      <c r="H64" s="38">
        <v>0.02</v>
      </c>
      <c r="I64" s="38">
        <v>-0.02</v>
      </c>
      <c r="J64" s="39">
        <v>0.02</v>
      </c>
      <c r="K64" s="36">
        <v>1963496.7387730195</v>
      </c>
      <c r="L64" s="36">
        <v>1963496.7387730195</v>
      </c>
      <c r="M64" s="36">
        <v>2047941.6485506697</v>
      </c>
      <c r="N64" s="36">
        <v>1966784.4768443999</v>
      </c>
    </row>
    <row r="65" spans="1:14">
      <c r="A65" s="37">
        <v>64</v>
      </c>
      <c r="B65" s="38">
        <v>0.04</v>
      </c>
      <c r="C65" s="38">
        <v>-0.03</v>
      </c>
      <c r="D65" s="38">
        <v>-0.02</v>
      </c>
      <c r="E65" s="38">
        <v>0.06</v>
      </c>
      <c r="F65" s="38">
        <v>-0.01</v>
      </c>
      <c r="G65" s="38">
        <v>0.02</v>
      </c>
      <c r="H65" s="38">
        <v>7.0000000000000007E-2</v>
      </c>
      <c r="I65" s="38">
        <v>-0.02</v>
      </c>
      <c r="J65" s="39">
        <v>0.01</v>
      </c>
      <c r="K65" s="36">
        <v>1636814.7090488435</v>
      </c>
      <c r="L65" s="36">
        <v>1636814.7090488435</v>
      </c>
      <c r="M65" s="36">
        <v>1707154.9216682939</v>
      </c>
      <c r="N65" s="36">
        <v>1594335.8125150502</v>
      </c>
    </row>
    <row r="66" spans="1:14">
      <c r="A66" s="37">
        <v>65</v>
      </c>
      <c r="B66" s="38">
        <v>0.03</v>
      </c>
      <c r="C66" s="38">
        <v>0.09</v>
      </c>
      <c r="D66" s="38">
        <v>0.06</v>
      </c>
      <c r="E66" s="38">
        <v>7.0000000000000007E-2</v>
      </c>
      <c r="F66" s="38">
        <v>0.04</v>
      </c>
      <c r="G66" s="38">
        <v>0.01</v>
      </c>
      <c r="H66" s="38">
        <v>-0.02</v>
      </c>
      <c r="I66" s="38">
        <v>-0.02</v>
      </c>
      <c r="J66" s="39">
        <v>0.01</v>
      </c>
      <c r="K66" s="36">
        <v>2006281.0142631112</v>
      </c>
      <c r="L66" s="36">
        <v>2006281.0142631112</v>
      </c>
      <c r="M66" s="36">
        <v>2088486.7777401065</v>
      </c>
      <c r="N66" s="36">
        <v>1953489.0790378</v>
      </c>
    </row>
    <row r="67" spans="1:14">
      <c r="A67" s="37">
        <v>66</v>
      </c>
      <c r="B67" s="38">
        <v>7.0000000000000007E-2</v>
      </c>
      <c r="C67" s="38">
        <v>7.0000000000000007E-2</v>
      </c>
      <c r="D67" s="38">
        <v>0.01</v>
      </c>
      <c r="E67" s="38">
        <v>-0.04</v>
      </c>
      <c r="F67" s="38">
        <v>0.02</v>
      </c>
      <c r="G67" s="38">
        <v>0.01</v>
      </c>
      <c r="H67" s="38">
        <v>-0.01</v>
      </c>
      <c r="I67" s="38">
        <v>7.0000000000000007E-2</v>
      </c>
      <c r="J67" s="39">
        <v>-0.03</v>
      </c>
      <c r="K67" s="36">
        <v>1677501.6272023316</v>
      </c>
      <c r="L67" s="36">
        <v>1677501.6272023316</v>
      </c>
      <c r="M67" s="36">
        <v>1753912.7011874495</v>
      </c>
      <c r="N67" s="36">
        <v>1769130.0616227996</v>
      </c>
    </row>
    <row r="68" spans="1:14">
      <c r="A68" s="37">
        <v>67</v>
      </c>
      <c r="B68" s="38">
        <v>0.01</v>
      </c>
      <c r="C68" s="38">
        <v>-7.0000000000000007E-2</v>
      </c>
      <c r="D68" s="38">
        <v>0.05</v>
      </c>
      <c r="E68" s="38">
        <v>0.05</v>
      </c>
      <c r="F68" s="38">
        <v>0.02</v>
      </c>
      <c r="G68" s="38">
        <v>0.02</v>
      </c>
      <c r="H68" s="38">
        <v>0.01</v>
      </c>
      <c r="I68" s="38">
        <v>0.05</v>
      </c>
      <c r="J68" s="39">
        <v>0.04</v>
      </c>
      <c r="K68" s="36">
        <v>2031495.7555402825</v>
      </c>
      <c r="L68" s="36">
        <v>2031495.7555402825</v>
      </c>
      <c r="M68" s="36">
        <v>2112838.332996781</v>
      </c>
      <c r="N68" s="36">
        <v>2005408.7282326799</v>
      </c>
    </row>
    <row r="69" spans="1:14">
      <c r="A69" s="37">
        <v>68</v>
      </c>
      <c r="B69" s="38">
        <v>0.01</v>
      </c>
      <c r="C69" s="38">
        <v>-0.06</v>
      </c>
      <c r="D69" s="38">
        <v>0.06</v>
      </c>
      <c r="E69" s="38">
        <v>-0.05</v>
      </c>
      <c r="F69" s="38">
        <v>0.03</v>
      </c>
      <c r="G69" s="38">
        <v>0.06</v>
      </c>
      <c r="H69" s="38">
        <v>0.01</v>
      </c>
      <c r="I69" s="38">
        <v>-0.01</v>
      </c>
      <c r="J69" s="39">
        <v>0.01</v>
      </c>
      <c r="K69" s="36">
        <v>1978109.3030350027</v>
      </c>
      <c r="L69" s="36">
        <v>1978109.3030350027</v>
      </c>
      <c r="M69" s="36">
        <v>2065445.6441309233</v>
      </c>
      <c r="N69" s="36">
        <v>2087992.3878101802</v>
      </c>
    </row>
    <row r="70" spans="1:14">
      <c r="A70" s="37">
        <v>69</v>
      </c>
      <c r="B70" s="38">
        <v>0.03</v>
      </c>
      <c r="C70" s="38">
        <v>0.03</v>
      </c>
      <c r="D70" s="38">
        <v>0.03</v>
      </c>
      <c r="E70" s="38">
        <v>0.04</v>
      </c>
      <c r="F70" s="38">
        <v>0.01</v>
      </c>
      <c r="G70" s="38">
        <v>0.06</v>
      </c>
      <c r="H70" s="38">
        <v>0.03</v>
      </c>
      <c r="I70" s="38">
        <v>-0.03</v>
      </c>
      <c r="J70" s="39">
        <v>0.03</v>
      </c>
      <c r="K70" s="36">
        <v>1819300.3487628854</v>
      </c>
      <c r="L70" s="36">
        <v>1819300.3487628854</v>
      </c>
      <c r="M70" s="36">
        <v>1899692.9967299316</v>
      </c>
      <c r="N70" s="36">
        <v>1807758.2655015499</v>
      </c>
    </row>
    <row r="71" spans="1:14">
      <c r="A71" s="37">
        <v>70</v>
      </c>
      <c r="B71" s="38">
        <v>0.05</v>
      </c>
      <c r="C71" s="38">
        <v>-0.03</v>
      </c>
      <c r="D71" s="38">
        <v>0.05</v>
      </c>
      <c r="E71" s="38">
        <v>-0.06</v>
      </c>
      <c r="F71" s="38">
        <v>0.06</v>
      </c>
      <c r="G71" s="38">
        <v>0.03</v>
      </c>
      <c r="H71" s="38">
        <v>0.02</v>
      </c>
      <c r="I71" s="38">
        <v>0.06</v>
      </c>
      <c r="J71" s="39">
        <v>-0.02</v>
      </c>
      <c r="K71" s="36">
        <v>1917316.9293405097</v>
      </c>
      <c r="L71" s="36">
        <v>1917316.9293405097</v>
      </c>
      <c r="M71" s="36">
        <v>2001623.4829073297</v>
      </c>
      <c r="N71" s="36">
        <v>2038546.67890838</v>
      </c>
    </row>
    <row r="72" spans="1:14">
      <c r="A72" s="37">
        <v>71</v>
      </c>
      <c r="B72" s="38">
        <v>0.05</v>
      </c>
      <c r="C72" s="38">
        <v>0.04</v>
      </c>
      <c r="D72" s="38">
        <v>0.02</v>
      </c>
      <c r="E72" s="38">
        <v>-0.02</v>
      </c>
      <c r="F72" s="38">
        <v>-0.02</v>
      </c>
      <c r="G72" s="38">
        <v>7.0000000000000007E-2</v>
      </c>
      <c r="H72" s="38">
        <v>0.02</v>
      </c>
      <c r="I72" s="38">
        <v>0.02</v>
      </c>
      <c r="J72" s="39">
        <v>0.04</v>
      </c>
      <c r="K72" s="36">
        <v>1730560.1105366761</v>
      </c>
      <c r="L72" s="36">
        <v>1730560.1105366761</v>
      </c>
      <c r="M72" s="36">
        <v>1811166.0921937386</v>
      </c>
      <c r="N72" s="36">
        <v>1799033.1784972798</v>
      </c>
    </row>
    <row r="73" spans="1:14">
      <c r="A73" s="37">
        <v>72</v>
      </c>
      <c r="B73" s="38">
        <v>0.01</v>
      </c>
      <c r="C73" s="38">
        <v>7.0000000000000007E-2</v>
      </c>
      <c r="D73" s="38">
        <v>-0.01</v>
      </c>
      <c r="E73" s="38">
        <v>0.02</v>
      </c>
      <c r="F73" s="38">
        <v>0.02</v>
      </c>
      <c r="G73" s="38">
        <v>0.06</v>
      </c>
      <c r="H73" s="38">
        <v>0.02</v>
      </c>
      <c r="I73" s="38">
        <v>0.02</v>
      </c>
      <c r="J73" s="39">
        <v>0.01</v>
      </c>
      <c r="K73" s="36">
        <v>1532259.6864958806</v>
      </c>
      <c r="L73" s="36">
        <v>1532259.6864958806</v>
      </c>
      <c r="M73" s="36">
        <v>1606946.7953892145</v>
      </c>
      <c r="N73" s="36">
        <v>1545645.66734665</v>
      </c>
    </row>
    <row r="74" spans="1:14">
      <c r="A74" s="37">
        <v>73</v>
      </c>
      <c r="B74" s="38">
        <v>7.0000000000000007E-2</v>
      </c>
      <c r="C74" s="38">
        <v>7.0000000000000007E-2</v>
      </c>
      <c r="D74" s="38">
        <v>0.01</v>
      </c>
      <c r="E74" s="38">
        <v>7.0000000000000007E-2</v>
      </c>
      <c r="F74" s="38">
        <v>0.02</v>
      </c>
      <c r="G74" s="38">
        <v>-0.05</v>
      </c>
      <c r="H74" s="38">
        <v>-0.02</v>
      </c>
      <c r="I74" s="38">
        <v>-0.01</v>
      </c>
      <c r="J74" s="39">
        <v>0.03</v>
      </c>
      <c r="K74" s="36">
        <v>1800370.4659616393</v>
      </c>
      <c r="L74" s="36">
        <v>1800370.4659616393</v>
      </c>
      <c r="M74" s="36">
        <v>1871660.7950090074</v>
      </c>
      <c r="N74" s="36">
        <v>1742475.0588992499</v>
      </c>
    </row>
    <row r="75" spans="1:14">
      <c r="A75" s="37">
        <v>74</v>
      </c>
      <c r="B75" s="38">
        <v>0.06</v>
      </c>
      <c r="C75" s="38">
        <v>0.06</v>
      </c>
      <c r="D75" s="38">
        <v>0.02</v>
      </c>
      <c r="E75" s="38">
        <v>0.02</v>
      </c>
      <c r="F75" s="38">
        <v>7.0000000000000007E-2</v>
      </c>
      <c r="G75" s="38">
        <v>0.04</v>
      </c>
      <c r="H75" s="38">
        <v>0.01</v>
      </c>
      <c r="I75" s="38">
        <v>0.08</v>
      </c>
      <c r="J75" s="39">
        <v>0.04</v>
      </c>
      <c r="K75" s="36">
        <v>1723898.267406753</v>
      </c>
      <c r="L75" s="36">
        <v>1723898.267406753</v>
      </c>
      <c r="M75" s="36">
        <v>1802001.8508048174</v>
      </c>
      <c r="N75" s="36">
        <v>1737447.1025176998</v>
      </c>
    </row>
    <row r="76" spans="1:14">
      <c r="A76" s="37">
        <v>75</v>
      </c>
      <c r="B76" s="38">
        <v>7.0000000000000007E-2</v>
      </c>
      <c r="C76" s="38">
        <v>-7.0000000000000007E-2</v>
      </c>
      <c r="D76" s="38">
        <v>0.04</v>
      </c>
      <c r="E76" s="38">
        <v>-0.06</v>
      </c>
      <c r="F76" s="38">
        <v>0.01</v>
      </c>
      <c r="G76" s="38">
        <v>-0.04</v>
      </c>
      <c r="H76" s="38">
        <v>-0.01</v>
      </c>
      <c r="I76" s="38">
        <v>0.04</v>
      </c>
      <c r="J76" s="39">
        <v>0.06</v>
      </c>
      <c r="K76" s="36">
        <v>1980506.3022441159</v>
      </c>
      <c r="L76" s="36">
        <v>1980506.3022441159</v>
      </c>
      <c r="M76" s="36">
        <v>2059695.3697616349</v>
      </c>
      <c r="N76" s="36">
        <v>2097807.2300068005</v>
      </c>
    </row>
    <row r="77" spans="1:14">
      <c r="A77" s="37">
        <v>76</v>
      </c>
      <c r="B77" s="38">
        <v>-0.01</v>
      </c>
      <c r="C77" s="38">
        <v>0.01</v>
      </c>
      <c r="D77" s="38">
        <v>7.0000000000000007E-2</v>
      </c>
      <c r="E77" s="38">
        <v>-0.06</v>
      </c>
      <c r="F77" s="38">
        <v>0.06</v>
      </c>
      <c r="G77" s="38">
        <v>7.0000000000000007E-2</v>
      </c>
      <c r="H77" s="38">
        <v>0.01</v>
      </c>
      <c r="I77" s="38">
        <v>-0.02</v>
      </c>
      <c r="J77" s="39">
        <v>7.0000000000000007E-2</v>
      </c>
      <c r="K77" s="36">
        <v>1956102.7471324648</v>
      </c>
      <c r="L77" s="36">
        <v>1956102.7471324648</v>
      </c>
      <c r="M77" s="36">
        <v>2045906.9775099622</v>
      </c>
      <c r="N77" s="36">
        <v>2080371.0728872004</v>
      </c>
    </row>
    <row r="78" spans="1:14">
      <c r="A78" s="37">
        <v>77</v>
      </c>
      <c r="B78" s="38">
        <v>-0.02</v>
      </c>
      <c r="C78" s="38">
        <v>-0.08</v>
      </c>
      <c r="D78" s="38">
        <v>-0.02</v>
      </c>
      <c r="E78" s="38">
        <v>-0.01</v>
      </c>
      <c r="F78" s="38">
        <v>0.03</v>
      </c>
      <c r="G78" s="38">
        <v>-0.03</v>
      </c>
      <c r="H78" s="38">
        <v>0.04</v>
      </c>
      <c r="I78" s="38">
        <v>-0.03</v>
      </c>
      <c r="J78" s="39">
        <v>0.05</v>
      </c>
      <c r="K78" s="36">
        <v>1613608.9618473446</v>
      </c>
      <c r="L78" s="36">
        <v>1613608.9618473446</v>
      </c>
      <c r="M78" s="36">
        <v>1682908.2586399859</v>
      </c>
      <c r="N78" s="36">
        <v>1661956.7681443999</v>
      </c>
    </row>
    <row r="79" spans="1:14">
      <c r="A79" s="37">
        <v>78</v>
      </c>
      <c r="B79" s="38">
        <v>0.06</v>
      </c>
      <c r="C79" s="38">
        <v>-0.05</v>
      </c>
      <c r="D79" s="38">
        <v>0.04</v>
      </c>
      <c r="E79" s="38">
        <v>-0.06</v>
      </c>
      <c r="F79" s="38">
        <v>0.06</v>
      </c>
      <c r="G79" s="38">
        <v>-0.01</v>
      </c>
      <c r="H79" s="38">
        <v>0.05</v>
      </c>
      <c r="I79" s="38">
        <v>0.04</v>
      </c>
      <c r="J79" s="39">
        <v>7.0000000000000007E-2</v>
      </c>
      <c r="K79" s="36">
        <v>1909008.4069405657</v>
      </c>
      <c r="L79" s="36">
        <v>1909008.4069405657</v>
      </c>
      <c r="M79" s="36">
        <v>1989557.9319076948</v>
      </c>
      <c r="N79" s="36">
        <v>2027669.7921528604</v>
      </c>
    </row>
    <row r="80" spans="1:14">
      <c r="A80" s="37">
        <v>79</v>
      </c>
      <c r="B80" s="38">
        <v>0.01</v>
      </c>
      <c r="C80" s="38">
        <v>0.05</v>
      </c>
      <c r="D80" s="38">
        <v>0.02</v>
      </c>
      <c r="E80" s="38">
        <v>0.05</v>
      </c>
      <c r="F80" s="38">
        <v>0.03</v>
      </c>
      <c r="G80" s="38">
        <v>-0.04</v>
      </c>
      <c r="H80" s="38">
        <v>0.03</v>
      </c>
      <c r="I80" s="38">
        <v>-0.03</v>
      </c>
      <c r="J80" s="39">
        <v>0.03</v>
      </c>
      <c r="K80" s="36">
        <v>1816776.8189849406</v>
      </c>
      <c r="L80" s="36">
        <v>1816776.8189849406</v>
      </c>
      <c r="M80" s="36">
        <v>1890421.0179829332</v>
      </c>
      <c r="N80" s="36">
        <v>1786477.75083895</v>
      </c>
    </row>
    <row r="81" spans="1:14">
      <c r="A81" s="37">
        <v>80</v>
      </c>
      <c r="B81" s="38">
        <v>-0.02</v>
      </c>
      <c r="C81" s="38">
        <v>-0.05</v>
      </c>
      <c r="D81" s="38">
        <v>7.0000000000000007E-2</v>
      </c>
      <c r="E81" s="38">
        <v>0.06</v>
      </c>
      <c r="F81" s="38">
        <v>7.0000000000000007E-2</v>
      </c>
      <c r="G81" s="38">
        <v>0.06</v>
      </c>
      <c r="H81" s="38">
        <v>7.0000000000000007E-2</v>
      </c>
      <c r="I81" s="38">
        <v>0.05</v>
      </c>
      <c r="J81" s="39">
        <v>0.06</v>
      </c>
      <c r="K81" s="36">
        <v>2071757.898352826</v>
      </c>
      <c r="L81" s="36">
        <v>2071757.898352826</v>
      </c>
      <c r="M81" s="36">
        <v>2158450.9972561961</v>
      </c>
      <c r="N81" s="36">
        <v>2035398.0847539208</v>
      </c>
    </row>
    <row r="82" spans="1:14">
      <c r="A82" s="37">
        <v>81</v>
      </c>
      <c r="B82" s="38">
        <v>0.03</v>
      </c>
      <c r="C82" s="38">
        <v>-0.06</v>
      </c>
      <c r="D82" s="38">
        <v>-0.01</v>
      </c>
      <c r="E82" s="38">
        <v>-0.03</v>
      </c>
      <c r="F82" s="38">
        <v>0.06</v>
      </c>
      <c r="G82" s="38">
        <v>-0.03</v>
      </c>
      <c r="H82" s="38">
        <v>0.01</v>
      </c>
      <c r="I82" s="38">
        <v>-0.03</v>
      </c>
      <c r="J82" s="39">
        <v>0.06</v>
      </c>
      <c r="K82" s="36">
        <v>1648772.0558126122</v>
      </c>
      <c r="L82" s="36">
        <v>1648772.0558126122</v>
      </c>
      <c r="M82" s="36">
        <v>1719950.1637203097</v>
      </c>
      <c r="N82" s="36">
        <v>1724185.3505231002</v>
      </c>
    </row>
    <row r="83" spans="1:14">
      <c r="A83" s="37">
        <v>82</v>
      </c>
      <c r="B83" s="38">
        <v>-0.02</v>
      </c>
      <c r="C83" s="38">
        <v>0.01</v>
      </c>
      <c r="D83" s="38">
        <v>-0.02</v>
      </c>
      <c r="E83" s="38">
        <v>0.03</v>
      </c>
      <c r="F83" s="38">
        <v>0.05</v>
      </c>
      <c r="G83" s="38">
        <v>0.01</v>
      </c>
      <c r="H83" s="38">
        <v>0.04</v>
      </c>
      <c r="I83" s="38">
        <v>7.0000000000000007E-2</v>
      </c>
      <c r="J83" s="39">
        <v>0.01</v>
      </c>
      <c r="K83" s="36">
        <v>1539182.8619235042</v>
      </c>
      <c r="L83" s="36">
        <v>1539182.8619235042</v>
      </c>
      <c r="M83" s="36">
        <v>1609594.7116811797</v>
      </c>
      <c r="N83" s="36">
        <v>1536212.24270013</v>
      </c>
    </row>
    <row r="84" spans="1:14">
      <c r="A84" s="37">
        <v>83</v>
      </c>
      <c r="B84" s="38">
        <v>0.03</v>
      </c>
      <c r="C84" s="38">
        <v>0.08</v>
      </c>
      <c r="D84" s="38">
        <v>7.0000000000000007E-2</v>
      </c>
      <c r="E84" s="38">
        <v>-0.05</v>
      </c>
      <c r="F84" s="38">
        <v>0.02</v>
      </c>
      <c r="G84" s="38">
        <v>0.03</v>
      </c>
      <c r="H84" s="38">
        <v>0.06</v>
      </c>
      <c r="I84" s="38">
        <v>-0.02</v>
      </c>
      <c r="J84" s="39">
        <v>0.06</v>
      </c>
      <c r="K84" s="36">
        <v>1992177.5724367094</v>
      </c>
      <c r="L84" s="36">
        <v>1992177.5724367094</v>
      </c>
      <c r="M84" s="36">
        <v>2079574.8854816379</v>
      </c>
      <c r="N84" s="36">
        <v>2100878.3078791806</v>
      </c>
    </row>
    <row r="85" spans="1:14">
      <c r="A85" s="37">
        <v>84</v>
      </c>
      <c r="B85" s="38">
        <v>0.05</v>
      </c>
      <c r="C85" s="38">
        <v>-0.01</v>
      </c>
      <c r="D85" s="38">
        <v>7.0000000000000007E-2</v>
      </c>
      <c r="E85" s="38">
        <v>7.0000000000000007E-2</v>
      </c>
      <c r="F85" s="38">
        <v>-0.02</v>
      </c>
      <c r="G85" s="38">
        <v>-0.01</v>
      </c>
      <c r="H85" s="38">
        <v>0.01</v>
      </c>
      <c r="I85" s="38">
        <v>-0.01</v>
      </c>
      <c r="J85" s="39">
        <v>0.02</v>
      </c>
      <c r="K85" s="36">
        <v>2200867.9804732827</v>
      </c>
      <c r="L85" s="36">
        <v>2200867.9804732827</v>
      </c>
      <c r="M85" s="36">
        <v>2283826.5719364514</v>
      </c>
      <c r="N85" s="36">
        <v>2147585.551952431</v>
      </c>
    </row>
    <row r="86" spans="1:14">
      <c r="A86" s="37">
        <v>85</v>
      </c>
      <c r="B86" s="38">
        <v>0.01</v>
      </c>
      <c r="C86" s="38">
        <v>0.06</v>
      </c>
      <c r="D86" s="38">
        <v>0.08</v>
      </c>
      <c r="E86" s="38">
        <v>0.05</v>
      </c>
      <c r="F86" s="38">
        <v>-0.02</v>
      </c>
      <c r="G86" s="38">
        <v>0.05</v>
      </c>
      <c r="H86" s="38">
        <v>0.05</v>
      </c>
      <c r="I86" s="38">
        <v>0.03</v>
      </c>
      <c r="J86" s="39">
        <v>-0.01</v>
      </c>
      <c r="K86" s="36">
        <v>2132580.5358888707</v>
      </c>
      <c r="L86" s="36">
        <v>2132580.5358888707</v>
      </c>
      <c r="M86" s="36">
        <v>2220771.4167543119</v>
      </c>
      <c r="N86" s="36">
        <v>2109611.4178664703</v>
      </c>
    </row>
    <row r="87" spans="1:14">
      <c r="A87" s="37">
        <v>86</v>
      </c>
      <c r="B87" s="38">
        <v>0.04</v>
      </c>
      <c r="C87" s="38">
        <v>0.02</v>
      </c>
      <c r="D87" s="38">
        <v>0.05</v>
      </c>
      <c r="E87" s="38">
        <v>7.0000000000000007E-2</v>
      </c>
      <c r="F87" s="38">
        <v>-0.01</v>
      </c>
      <c r="G87" s="38">
        <v>0.05</v>
      </c>
      <c r="H87" s="38">
        <v>0.06</v>
      </c>
      <c r="I87" s="38">
        <v>0.09</v>
      </c>
      <c r="J87" s="39">
        <v>0.04</v>
      </c>
      <c r="K87" s="36">
        <v>1990720.221803277</v>
      </c>
      <c r="L87" s="36">
        <v>1990720.221803277</v>
      </c>
      <c r="M87" s="36">
        <v>2073271.6532471583</v>
      </c>
      <c r="N87" s="36">
        <v>1939489.7338869497</v>
      </c>
    </row>
    <row r="88" spans="1:14">
      <c r="A88" s="37">
        <v>87</v>
      </c>
      <c r="B88" s="38">
        <v>-0.02</v>
      </c>
      <c r="C88" s="38">
        <v>-0.02</v>
      </c>
      <c r="D88" s="38">
        <v>0.03</v>
      </c>
      <c r="E88" s="38">
        <v>0.04</v>
      </c>
      <c r="F88" s="38">
        <v>0.06</v>
      </c>
      <c r="G88" s="38">
        <v>-0.02</v>
      </c>
      <c r="H88" s="38">
        <v>0.02</v>
      </c>
      <c r="I88" s="38">
        <v>0.01</v>
      </c>
      <c r="J88" s="39">
        <v>0.05</v>
      </c>
      <c r="K88" s="36">
        <v>1869829.6378544404</v>
      </c>
      <c r="L88" s="36">
        <v>1869829.6378544404</v>
      </c>
      <c r="M88" s="36">
        <v>1946130.0687171321</v>
      </c>
      <c r="N88" s="36">
        <v>1854195.3374887502</v>
      </c>
    </row>
    <row r="89" spans="1:14">
      <c r="A89" s="37">
        <v>88</v>
      </c>
      <c r="B89" s="38">
        <v>0.03</v>
      </c>
      <c r="C89" s="38">
        <v>0.04</v>
      </c>
      <c r="D89" s="38">
        <v>7.0000000000000007E-2</v>
      </c>
      <c r="E89" s="38">
        <v>-0.03</v>
      </c>
      <c r="F89" s="38">
        <v>0.06</v>
      </c>
      <c r="G89" s="38">
        <v>-0.05</v>
      </c>
      <c r="H89" s="38">
        <v>0.06</v>
      </c>
      <c r="I89" s="38">
        <v>0.04</v>
      </c>
      <c r="J89" s="39">
        <v>-0.03</v>
      </c>
      <c r="K89" s="36">
        <v>2074989.9896400911</v>
      </c>
      <c r="L89" s="36">
        <v>2074989.9896400911</v>
      </c>
      <c r="M89" s="36">
        <v>2158241.2950276933</v>
      </c>
      <c r="N89" s="36">
        <v>2153277.4233420007</v>
      </c>
    </row>
    <row r="90" spans="1:14">
      <c r="A90" s="37">
        <v>89</v>
      </c>
      <c r="B90" s="38">
        <v>0.05</v>
      </c>
      <c r="C90" s="38">
        <v>0.03</v>
      </c>
      <c r="D90" s="38">
        <v>0.05</v>
      </c>
      <c r="E90" s="38">
        <v>0.04</v>
      </c>
      <c r="F90" s="38">
        <v>-0.02</v>
      </c>
      <c r="G90" s="38">
        <v>0.02</v>
      </c>
      <c r="H90" s="38">
        <v>0.01</v>
      </c>
      <c r="I90" s="38">
        <v>0.06</v>
      </c>
      <c r="J90" s="39">
        <v>0.06</v>
      </c>
      <c r="K90" s="36">
        <v>2004902.4004645138</v>
      </c>
      <c r="L90" s="36">
        <v>2004902.4004645138</v>
      </c>
      <c r="M90" s="36">
        <v>2086412.8956411316</v>
      </c>
      <c r="N90" s="36">
        <v>1992127.5276178301</v>
      </c>
    </row>
    <row r="91" spans="1:14">
      <c r="A91" s="37">
        <v>90</v>
      </c>
      <c r="B91" s="38">
        <v>-0.01</v>
      </c>
      <c r="C91" s="38">
        <v>-0.03</v>
      </c>
      <c r="D91" s="38">
        <v>0.09</v>
      </c>
      <c r="E91" s="38">
        <v>-0.04</v>
      </c>
      <c r="F91" s="38">
        <v>0.03</v>
      </c>
      <c r="G91" s="38">
        <v>-0.05</v>
      </c>
      <c r="H91" s="38">
        <v>0.06</v>
      </c>
      <c r="I91" s="38">
        <v>-0.01</v>
      </c>
      <c r="J91" s="39">
        <v>0.04</v>
      </c>
      <c r="K91" s="36">
        <v>2247297.6105281021</v>
      </c>
      <c r="L91" s="36">
        <v>2247297.6105281021</v>
      </c>
      <c r="M91" s="36">
        <v>2334277.3614461483</v>
      </c>
      <c r="N91" s="36">
        <v>2339868.4450736009</v>
      </c>
    </row>
    <row r="92" spans="1:14">
      <c r="A92" s="37">
        <v>91</v>
      </c>
      <c r="B92" s="38">
        <v>0.04</v>
      </c>
      <c r="C92" s="38">
        <v>-0.02</v>
      </c>
      <c r="D92" s="38">
        <v>0.01</v>
      </c>
      <c r="E92" s="38">
        <v>-0.06</v>
      </c>
      <c r="F92" s="38">
        <v>0.01</v>
      </c>
      <c r="G92" s="38">
        <v>0.04</v>
      </c>
      <c r="H92" s="38">
        <v>-0.02</v>
      </c>
      <c r="I92" s="38">
        <v>0.01</v>
      </c>
      <c r="J92" s="39">
        <v>0.04</v>
      </c>
      <c r="K92" s="36">
        <v>1690665.1591614739</v>
      </c>
      <c r="L92" s="36">
        <v>1690665.1591614739</v>
      </c>
      <c r="M92" s="36">
        <v>1769004.6547752488</v>
      </c>
      <c r="N92" s="36">
        <v>1810524.0340267499</v>
      </c>
    </row>
    <row r="93" spans="1:14">
      <c r="A93" s="37">
        <v>92</v>
      </c>
      <c r="B93" s="38">
        <v>7.0000000000000007E-2</v>
      </c>
      <c r="C93" s="38">
        <v>-0.02</v>
      </c>
      <c r="D93" s="38">
        <v>0.01</v>
      </c>
      <c r="E93" s="38">
        <v>0.06</v>
      </c>
      <c r="F93" s="38">
        <v>-0.02</v>
      </c>
      <c r="G93" s="38">
        <v>0.03</v>
      </c>
      <c r="H93" s="38">
        <v>0.05</v>
      </c>
      <c r="I93" s="38">
        <v>-0.02</v>
      </c>
      <c r="J93" s="39">
        <v>-0.01</v>
      </c>
      <c r="K93" s="36">
        <v>1809623.097608021</v>
      </c>
      <c r="L93" s="36">
        <v>1809623.097608021</v>
      </c>
      <c r="M93" s="36">
        <v>1884940.5617490024</v>
      </c>
      <c r="N93" s="36">
        <v>1768942.9331209899</v>
      </c>
    </row>
    <row r="94" spans="1:14">
      <c r="A94" s="37">
        <v>93</v>
      </c>
      <c r="B94" s="38">
        <v>0.06</v>
      </c>
      <c r="C94" s="38">
        <v>0.04</v>
      </c>
      <c r="D94" s="38">
        <v>7.0000000000000007E-2</v>
      </c>
      <c r="E94" s="38">
        <v>0.06</v>
      </c>
      <c r="F94" s="38">
        <v>0.02</v>
      </c>
      <c r="G94" s="38">
        <v>-0.03</v>
      </c>
      <c r="H94" s="38">
        <v>-0.01</v>
      </c>
      <c r="I94" s="38">
        <v>0.03</v>
      </c>
      <c r="J94" s="39">
        <v>0.06</v>
      </c>
      <c r="K94" s="36">
        <v>2161903.3739463715</v>
      </c>
      <c r="L94" s="36">
        <v>2161903.3739463715</v>
      </c>
      <c r="M94" s="36">
        <v>2244070.9884986761</v>
      </c>
      <c r="N94" s="36">
        <v>2121018.0759964008</v>
      </c>
    </row>
    <row r="95" spans="1:14">
      <c r="A95" s="37">
        <v>94</v>
      </c>
      <c r="B95" s="38">
        <v>0.04</v>
      </c>
      <c r="C95" s="38">
        <v>0.09</v>
      </c>
      <c r="D95" s="38">
        <v>0.06</v>
      </c>
      <c r="E95" s="38">
        <v>0.04</v>
      </c>
      <c r="F95" s="38">
        <v>-0.02</v>
      </c>
      <c r="G95" s="38">
        <v>0.02</v>
      </c>
      <c r="H95" s="38">
        <v>0.06</v>
      </c>
      <c r="I95" s="38">
        <v>0.01</v>
      </c>
      <c r="J95" s="39">
        <v>0.05</v>
      </c>
      <c r="K95" s="36">
        <v>2017523.8751199637</v>
      </c>
      <c r="L95" s="36">
        <v>2017523.8751199637</v>
      </c>
      <c r="M95" s="36">
        <v>2100742.9744387497</v>
      </c>
      <c r="N95" s="36">
        <v>2005241.8270733499</v>
      </c>
    </row>
    <row r="96" spans="1:14">
      <c r="A96" s="37">
        <v>95</v>
      </c>
      <c r="B96" s="38">
        <v>0.04</v>
      </c>
      <c r="C96" s="38">
        <v>0.01</v>
      </c>
      <c r="D96" s="38">
        <v>0.02</v>
      </c>
      <c r="E96" s="38">
        <v>0.05</v>
      </c>
      <c r="F96" s="38">
        <v>-0.02</v>
      </c>
      <c r="G96" s="38">
        <v>-0.06</v>
      </c>
      <c r="H96" s="38">
        <v>0.02</v>
      </c>
      <c r="I96" s="38">
        <v>-0.01</v>
      </c>
      <c r="J96" s="39">
        <v>0.02</v>
      </c>
      <c r="K96" s="36">
        <v>1901822.4689315278</v>
      </c>
      <c r="L96" s="36">
        <v>1901822.4689315278</v>
      </c>
      <c r="M96" s="36">
        <v>1974617.9935117632</v>
      </c>
      <c r="N96" s="36">
        <v>1870674.72636778</v>
      </c>
    </row>
    <row r="97" spans="1:14">
      <c r="A97" s="37">
        <v>96</v>
      </c>
      <c r="B97" s="38">
        <v>0.02</v>
      </c>
      <c r="C97" s="38">
        <v>-0.08</v>
      </c>
      <c r="D97" s="38">
        <v>0.03</v>
      </c>
      <c r="E97" s="38">
        <v>0.02</v>
      </c>
      <c r="F97" s="38">
        <v>7.0000000000000007E-2</v>
      </c>
      <c r="G97" s="38">
        <v>0.02</v>
      </c>
      <c r="H97" s="38">
        <v>0.04</v>
      </c>
      <c r="I97" s="38">
        <v>-0.06</v>
      </c>
      <c r="J97" s="39">
        <v>0.03</v>
      </c>
      <c r="K97" s="36">
        <v>1870038.9237763504</v>
      </c>
      <c r="L97" s="36">
        <v>1870038.9237763504</v>
      </c>
      <c r="M97" s="36">
        <v>1948700.1695199651</v>
      </c>
      <c r="N97" s="36">
        <v>1883009.7204076501</v>
      </c>
    </row>
    <row r="98" spans="1:14">
      <c r="A98" s="37">
        <v>97</v>
      </c>
      <c r="B98" s="38">
        <v>-0.02</v>
      </c>
      <c r="C98" s="38">
        <v>-7.0000000000000007E-2</v>
      </c>
      <c r="D98" s="38">
        <v>0.05</v>
      </c>
      <c r="E98" s="38">
        <v>0.05</v>
      </c>
      <c r="F98" s="38">
        <v>0.04</v>
      </c>
      <c r="G98" s="38">
        <v>0.04</v>
      </c>
      <c r="H98" s="38">
        <v>0.02</v>
      </c>
      <c r="I98" s="38">
        <v>0.02</v>
      </c>
      <c r="J98" s="39">
        <v>0.02</v>
      </c>
      <c r="K98" s="36">
        <v>1987648.5025648386</v>
      </c>
      <c r="L98" s="36">
        <v>1987648.5025648386</v>
      </c>
      <c r="M98" s="36">
        <v>2070055.3383765309</v>
      </c>
      <c r="N98" s="36">
        <v>1962625.7336124298</v>
      </c>
    </row>
    <row r="99" spans="1:14">
      <c r="A99" s="37">
        <v>98</v>
      </c>
      <c r="B99" s="38">
        <v>7.0000000000000007E-2</v>
      </c>
      <c r="C99" s="38">
        <v>-0.06</v>
      </c>
      <c r="D99" s="38">
        <v>0.06</v>
      </c>
      <c r="E99" s="38">
        <v>0.01</v>
      </c>
      <c r="F99" s="38">
        <v>-0.01</v>
      </c>
      <c r="G99" s="38">
        <v>0.01</v>
      </c>
      <c r="H99" s="38">
        <v>0.05</v>
      </c>
      <c r="I99" s="38">
        <v>0.04</v>
      </c>
      <c r="J99" s="39">
        <v>-0.02</v>
      </c>
      <c r="K99" s="36">
        <v>2115602.2692675348</v>
      </c>
      <c r="L99" s="36">
        <v>2115602.2692675348</v>
      </c>
      <c r="M99" s="36">
        <v>2199010.0490817428</v>
      </c>
      <c r="N99" s="36">
        <v>2142861.0889751902</v>
      </c>
    </row>
    <row r="100" spans="1:14">
      <c r="A100" s="37">
        <v>99</v>
      </c>
      <c r="B100" s="38">
        <v>0.01</v>
      </c>
      <c r="C100" s="38">
        <v>-0.02</v>
      </c>
      <c r="D100" s="38">
        <v>-0.02</v>
      </c>
      <c r="E100" s="38">
        <v>0.04</v>
      </c>
      <c r="F100" s="38">
        <v>7.0000000000000007E-2</v>
      </c>
      <c r="G100" s="38">
        <v>-0.01</v>
      </c>
      <c r="H100" s="38">
        <v>7.0000000000000007E-2</v>
      </c>
      <c r="I100" s="38">
        <v>0.04</v>
      </c>
      <c r="J100" s="39">
        <v>7.0000000000000007E-2</v>
      </c>
      <c r="K100" s="36">
        <v>1583736.1009740897</v>
      </c>
      <c r="L100" s="36">
        <v>1583736.1009740897</v>
      </c>
      <c r="M100" s="36">
        <v>1652910.286272282</v>
      </c>
      <c r="N100" s="36">
        <v>1566399.6209742001</v>
      </c>
    </row>
    <row r="101" spans="1:14">
      <c r="A101" s="40">
        <v>100</v>
      </c>
      <c r="B101" s="41">
        <v>-0.01</v>
      </c>
      <c r="C101" s="41">
        <v>-0.01</v>
      </c>
      <c r="D101" s="41">
        <v>0.02</v>
      </c>
      <c r="E101" s="41">
        <v>0.02</v>
      </c>
      <c r="F101" s="41">
        <v>-0.02</v>
      </c>
      <c r="G101" s="41">
        <v>0.02</v>
      </c>
      <c r="H101" s="41">
        <v>0.02</v>
      </c>
      <c r="I101" s="41">
        <v>-0.03</v>
      </c>
      <c r="J101" s="42">
        <v>0.06</v>
      </c>
      <c r="K101" s="36">
        <v>1809139.0190825677</v>
      </c>
      <c r="L101" s="36">
        <v>1809139.0190825677</v>
      </c>
      <c r="M101" s="36">
        <v>1886179.4946950176</v>
      </c>
      <c r="N101" s="36">
        <v>1821624.7464079005</v>
      </c>
    </row>
  </sheetData>
  <conditionalFormatting sqref="A2:J101">
    <cfRule type="cellIs" dxfId="2"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60E2-7F32-4D5F-AE87-7E17E9FE2301}">
  <sheetPr codeName="Sheet2"/>
  <dimension ref="A1:A28"/>
  <sheetViews>
    <sheetView topLeftCell="A4" workbookViewId="0">
      <selection activeCell="F51" sqref="F51"/>
    </sheetView>
  </sheetViews>
  <sheetFormatPr defaultRowHeight="14"/>
  <sheetData>
    <row r="1" spans="1:1">
      <c r="A1" t="s">
        <v>23</v>
      </c>
    </row>
    <row r="2" spans="1:1">
      <c r="A2" s="31"/>
    </row>
    <row r="3" spans="1:1">
      <c r="A3" s="31" t="s">
        <v>24</v>
      </c>
    </row>
    <row r="4" spans="1:1">
      <c r="A4" s="31" t="s">
        <v>25</v>
      </c>
    </row>
    <row r="5" spans="1:1">
      <c r="A5" s="31" t="s">
        <v>26</v>
      </c>
    </row>
    <row r="6" spans="1:1">
      <c r="A6" s="31" t="s">
        <v>27</v>
      </c>
    </row>
    <row r="7" spans="1:1">
      <c r="A7" s="31" t="s">
        <v>28</v>
      </c>
    </row>
    <row r="8" spans="1:1">
      <c r="A8" s="31" t="s">
        <v>29</v>
      </c>
    </row>
    <row r="9" spans="1:1">
      <c r="A9" s="31" t="s">
        <v>30</v>
      </c>
    </row>
    <row r="10" spans="1:1">
      <c r="A10" s="31" t="s">
        <v>31</v>
      </c>
    </row>
    <row r="11" spans="1:1">
      <c r="A11" s="31" t="s">
        <v>32</v>
      </c>
    </row>
    <row r="13" spans="1:1">
      <c r="A13" t="s">
        <v>33</v>
      </c>
    </row>
    <row r="15" spans="1:1">
      <c r="A15" t="s">
        <v>34</v>
      </c>
    </row>
    <row r="17" spans="1:1">
      <c r="A17" s="30" t="s">
        <v>35</v>
      </c>
    </row>
    <row r="19" spans="1:1">
      <c r="A19" t="s">
        <v>36</v>
      </c>
    </row>
    <row r="20" spans="1:1">
      <c r="A20" s="31"/>
    </row>
    <row r="21" spans="1:1">
      <c r="A21" s="31" t="s">
        <v>37</v>
      </c>
    </row>
    <row r="22" spans="1:1">
      <c r="A22" s="31" t="s">
        <v>38</v>
      </c>
    </row>
    <row r="23" spans="1:1">
      <c r="A23" s="31" t="s">
        <v>39</v>
      </c>
    </row>
    <row r="24" spans="1:1">
      <c r="A24" s="31" t="s">
        <v>40</v>
      </c>
    </row>
    <row r="25" spans="1:1">
      <c r="A25" s="31" t="s">
        <v>41</v>
      </c>
    </row>
    <row r="26" spans="1:1">
      <c r="A26" s="31" t="s">
        <v>42</v>
      </c>
    </row>
    <row r="28" spans="1:1">
      <c r="A28" t="s">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Income Statement Projection</vt:lpstr>
      <vt:lpstr>Forecast by Interest Rate</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dc:creator>
  <cp:lastModifiedBy>Jon C</cp:lastModifiedBy>
  <dcterms:created xsi:type="dcterms:W3CDTF">2026-03-03T04:08:10Z</dcterms:created>
  <dcterms:modified xsi:type="dcterms:W3CDTF">2026-07-23T22:15:58Z</dcterms:modified>
</cp:coreProperties>
</file>